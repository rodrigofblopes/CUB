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Z\"/>
    </mc:Choice>
  </mc:AlternateContent>
  <xr:revisionPtr revIDLastSave="0" documentId="13_ncr:1_{9B2691EF-9BE6-4355-974A-96688EE7AE5A}" xr6:coauthVersionLast="47" xr6:coauthVersionMax="47" xr10:uidLastSave="{00000000-0000-0000-0000-000000000000}"/>
  <bookViews>
    <workbookView xWindow="28680" yWindow="-120" windowWidth="29040" windowHeight="15720" firstSheet="1" activeTab="3" xr2:uid="{8ECB752C-47F7-45A1-9394-1320C280DE9F}"/>
  </bookViews>
  <sheets>
    <sheet name="ESTUDO DE MERCADO" sheetId="3" state="hidden" r:id="rId1"/>
    <sheet name="ÁREA EQUIVALENTE" sheetId="2" r:id="rId2"/>
    <sheet name="VIABILIDADE" sheetId="1" state="hidden" r:id="rId3"/>
    <sheet name="CUSTO POR ETAPA" sheetId="5" r:id="rId4"/>
    <sheet name="REVESTIMENTOS" sheetId="6" r:id="rId5"/>
    <sheet name="PARCELAS CAIXA" sheetId="4" r:id="rId6"/>
  </sheets>
  <definedNames>
    <definedName name="_xlnm.Print_Area" localSheetId="1">'ÁREA EQUIVALENTE'!$A$1:$J$48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5" l="1"/>
  <c r="A34" i="5"/>
  <c r="C32" i="5"/>
  <c r="A32" i="5"/>
  <c r="C12" i="6"/>
  <c r="C13" i="6" s="1"/>
  <c r="C9" i="6"/>
  <c r="C10" i="6" s="1"/>
  <c r="H5" i="6"/>
  <c r="H3" i="6"/>
  <c r="E5" i="6"/>
  <c r="E6" i="6"/>
  <c r="H6" i="6" s="1"/>
  <c r="H7" i="6" s="1"/>
  <c r="C16" i="6" s="1"/>
  <c r="D17" i="5" s="1"/>
  <c r="E4" i="6"/>
  <c r="H4" i="6" s="1"/>
  <c r="E3" i="6"/>
  <c r="C7" i="6"/>
  <c r="B28" i="5"/>
  <c r="C3" i="2"/>
  <c r="D3" i="2" s="1"/>
  <c r="B16" i="2"/>
  <c r="E16" i="2" s="1"/>
  <c r="H26" i="3"/>
  <c r="H20" i="3"/>
  <c r="H23" i="3" s="1"/>
  <c r="D16" i="1"/>
  <c r="E48" i="1"/>
  <c r="E47" i="1"/>
  <c r="E46" i="1"/>
  <c r="E45" i="1"/>
  <c r="E44" i="1"/>
  <c r="E43" i="1"/>
  <c r="E42" i="1"/>
  <c r="E41" i="1"/>
  <c r="E39" i="1"/>
  <c r="E38" i="1"/>
  <c r="E40" i="1"/>
  <c r="J14" i="3"/>
  <c r="B58" i="1"/>
  <c r="D17" i="3"/>
  <c r="C7" i="3"/>
  <c r="D7" i="3" s="1"/>
  <c r="C6" i="3"/>
  <c r="D6" i="3" s="1"/>
  <c r="C5" i="3"/>
  <c r="D5" i="3" s="1"/>
  <c r="C4" i="3"/>
  <c r="D4" i="3" s="1"/>
  <c r="C3" i="3"/>
  <c r="D3" i="3" s="1"/>
  <c r="J4" i="3"/>
  <c r="J5" i="3"/>
  <c r="J12" i="3" s="1"/>
  <c r="J3" i="3"/>
  <c r="D12" i="2"/>
  <c r="F12" i="2" s="1"/>
  <c r="F11" i="2"/>
  <c r="D10" i="2"/>
  <c r="F10" i="2" s="1"/>
  <c r="D5" i="2"/>
  <c r="F5" i="2" s="1"/>
  <c r="D4" i="2"/>
  <c r="F4" i="2" s="1"/>
  <c r="G22" i="2" l="1"/>
  <c r="G26" i="2" s="1"/>
  <c r="F16" i="2" s="1"/>
  <c r="B22" i="2"/>
  <c r="B23" i="2" s="1"/>
  <c r="B26" i="2" s="1"/>
  <c r="D22" i="2"/>
  <c r="F3" i="2"/>
  <c r="F13" i="2" s="1"/>
  <c r="D13" i="2"/>
  <c r="C13" i="2"/>
  <c r="D23" i="2"/>
  <c r="H22" i="2" l="1"/>
  <c r="I22" i="2"/>
  <c r="I23" i="2"/>
  <c r="D26" i="2"/>
  <c r="E18" i="2"/>
  <c r="A2" i="5" s="1"/>
  <c r="B2" i="5" s="1"/>
  <c r="C26" i="2"/>
  <c r="C22" i="2"/>
  <c r="H26" i="2"/>
  <c r="H23" i="2"/>
  <c r="C23" i="2"/>
  <c r="F18" i="2"/>
  <c r="C34" i="5" l="1"/>
  <c r="C2" i="5"/>
  <c r="D2" i="5" s="1"/>
  <c r="C30" i="2"/>
  <c r="I26" i="2"/>
  <c r="C29" i="2"/>
  <c r="D3" i="5" l="1"/>
  <c r="I8" i="5"/>
  <c r="C31" i="2"/>
  <c r="C32" i="2"/>
  <c r="A34" i="2" s="1"/>
  <c r="A36" i="2" s="1"/>
  <c r="I58" i="1"/>
  <c r="E21" i="5" l="1"/>
  <c r="C18" i="5"/>
  <c r="E22" i="5"/>
  <c r="C19" i="5"/>
  <c r="E23" i="5"/>
  <c r="C20" i="5"/>
  <c r="E24" i="5"/>
  <c r="C21" i="5"/>
  <c r="E25" i="5"/>
  <c r="C22" i="5"/>
  <c r="E10" i="5"/>
  <c r="E27" i="5"/>
  <c r="C8" i="5"/>
  <c r="C24" i="5"/>
  <c r="E7" i="5"/>
  <c r="E18" i="5"/>
  <c r="C15" i="5"/>
  <c r="E20" i="5"/>
  <c r="C17" i="5"/>
  <c r="E9" i="5"/>
  <c r="E26" i="5"/>
  <c r="C23" i="5"/>
  <c r="E11" i="5"/>
  <c r="C9" i="5"/>
  <c r="C25" i="5"/>
  <c r="E12" i="5"/>
  <c r="E8" i="5"/>
  <c r="C10" i="5"/>
  <c r="C26" i="5"/>
  <c r="E13" i="5"/>
  <c r="C11" i="5"/>
  <c r="C27" i="5"/>
  <c r="E14" i="5"/>
  <c r="C12" i="5"/>
  <c r="C7" i="5"/>
  <c r="E15" i="5"/>
  <c r="C13" i="5"/>
  <c r="E16" i="5"/>
  <c r="C14" i="5"/>
  <c r="E19" i="5"/>
  <c r="C16" i="5"/>
  <c r="E17" i="5"/>
  <c r="J58" i="1"/>
  <c r="F58" i="1"/>
  <c r="F60" i="1" s="1"/>
  <c r="D58" i="1"/>
  <c r="D60" i="1" s="1"/>
  <c r="B60" i="1"/>
  <c r="B10" i="1"/>
  <c r="B63" i="1" s="1"/>
  <c r="B21" i="1"/>
  <c r="B26" i="1" s="1"/>
  <c r="B64" i="1" s="1"/>
  <c r="E7" i="1"/>
  <c r="E8" i="1"/>
  <c r="F4" i="1"/>
  <c r="B6" i="1"/>
  <c r="E28" i="5" l="1"/>
  <c r="J10" i="5"/>
  <c r="J11" i="5" s="1"/>
  <c r="C28" i="5"/>
  <c r="D63" i="1"/>
  <c r="F63" i="1" s="1"/>
  <c r="D59" i="1"/>
  <c r="B59" i="1"/>
  <c r="F59" i="1"/>
  <c r="F64" i="1"/>
  <c r="F65" i="1" s="1"/>
  <c r="D64" i="1"/>
  <c r="D65" i="1" s="1"/>
  <c r="B65" i="1"/>
  <c r="B66" i="1" s="1"/>
  <c r="B61" i="1" l="1"/>
  <c r="B62" i="1" s="1"/>
  <c r="D66" i="1"/>
  <c r="D61" i="1" s="1"/>
  <c r="D62" i="1" s="1"/>
  <c r="E67" i="1" s="1"/>
  <c r="E71" i="1" s="1"/>
  <c r="F66" i="1"/>
  <c r="F61" i="1" s="1"/>
  <c r="F62" i="1" s="1"/>
  <c r="G67" i="1" s="1"/>
  <c r="H69" i="1" s="1"/>
  <c r="B67" i="1" l="1"/>
  <c r="C67" i="1"/>
  <c r="C68" i="1" s="1"/>
  <c r="E49" i="1"/>
  <c r="B68" i="1" s="1"/>
  <c r="F68" i="1" l="1"/>
  <c r="F67" i="1" s="1"/>
  <c r="G69" i="1" s="1"/>
  <c r="D68" i="1"/>
  <c r="D67" i="1" l="1"/>
  <c r="E70" i="1" s="1"/>
  <c r="B70" i="1"/>
  <c r="B69" i="1"/>
  <c r="F70" i="1"/>
  <c r="F69" i="1"/>
  <c r="B71" i="1"/>
  <c r="F75" i="1" s="1"/>
  <c r="F71" i="1"/>
  <c r="D77" i="1" s="1"/>
  <c r="M57" i="1" s="1"/>
  <c r="M58" i="1" s="1"/>
  <c r="B75" i="1" l="1"/>
  <c r="D75" i="1"/>
  <c r="K57" i="1" s="1"/>
  <c r="K58" i="1" s="1"/>
  <c r="F77" i="1"/>
  <c r="B77" i="1"/>
  <c r="D70" i="1"/>
  <c r="D71" i="1"/>
  <c r="B76" i="1" s="1"/>
  <c r="D69" i="1"/>
  <c r="F76" i="1" l="1"/>
  <c r="D76" i="1"/>
  <c r="L57" i="1" s="1"/>
  <c r="L58" i="1" s="1"/>
</calcChain>
</file>

<file path=xl/sharedStrings.xml><?xml version="1.0" encoding="utf-8"?>
<sst xmlns="http://schemas.openxmlformats.org/spreadsheetml/2006/main" count="249" uniqueCount="218">
  <si>
    <t>TERRENO</t>
  </si>
  <si>
    <t>ÁREA DO TERRENO</t>
  </si>
  <si>
    <t>VALOR DE AQUISIÇÃO</t>
  </si>
  <si>
    <t>PREÇO DO M²</t>
  </si>
  <si>
    <t>ITBI</t>
  </si>
  <si>
    <t>ESCRITURA E REGISTRO</t>
  </si>
  <si>
    <t>IPTU</t>
  </si>
  <si>
    <t>CUSTO TOTAL TERRENO</t>
  </si>
  <si>
    <t>TAXA DE JUROS</t>
  </si>
  <si>
    <t>ESTUDO VIABILIDADE</t>
  </si>
  <si>
    <t>A (m²)</t>
  </si>
  <si>
    <t>L (m)</t>
  </si>
  <si>
    <t>C (m)</t>
  </si>
  <si>
    <t>CARTÓRIO</t>
  </si>
  <si>
    <t>CUSTOS DE CONSTRUÇÃO</t>
  </si>
  <si>
    <t>ÁREA CONSTRUÍDA TOTAL</t>
  </si>
  <si>
    <t>ÁREA CONSTRUÍDA EQUIVALENTE</t>
  </si>
  <si>
    <t>CUB REFERÊNCIA</t>
  </si>
  <si>
    <t>CUSTO CUB</t>
  </si>
  <si>
    <t>CUSTO HISTÓRICO INTERNO</t>
  </si>
  <si>
    <t>CUSTO ORÇADO</t>
  </si>
  <si>
    <t>CUSTO ESCOLHIDO</t>
  </si>
  <si>
    <t>CUSTO DA OBRA</t>
  </si>
  <si>
    <t>PROJETOS</t>
  </si>
  <si>
    <t>TERRAPLANAGEM</t>
  </si>
  <si>
    <t>PAISAGISMO</t>
  </si>
  <si>
    <t>OUTROS</t>
  </si>
  <si>
    <t>CUSTO TOTAL DE CONSTRUÇÃO</t>
  </si>
  <si>
    <t>TAXAS E TRIBUTOS</t>
  </si>
  <si>
    <t>ADMINISTRAÇÃO DE OBRA</t>
  </si>
  <si>
    <t>CORRETAGEM NA VENDA</t>
  </si>
  <si>
    <t>RECOLHIMENTO DE TRIBUTOS</t>
  </si>
  <si>
    <t>PESSOA FÍSICA</t>
  </si>
  <si>
    <t>TRIBUTOS PESSOA FÍSICA - GANHO DE CAPITAL</t>
  </si>
  <si>
    <t>TRIBUTOS PESSOA JURÍDICA - LUCRO PRESUMIDO</t>
  </si>
  <si>
    <t>FORMA DE PAGAMENTO</t>
  </si>
  <si>
    <t>ADVERSO</t>
  </si>
  <si>
    <t>ESPERADO</t>
  </si>
  <si>
    <t>IDEAL</t>
  </si>
  <si>
    <t>NÚMERO DE PARCELAS</t>
  </si>
  <si>
    <t>CENÁRIOS DE VENDA</t>
  </si>
  <si>
    <t>COMPARATIVO DE RENTABILIDADES</t>
  </si>
  <si>
    <t>PRAZO DE VENDA</t>
  </si>
  <si>
    <t>CDB - DI</t>
  </si>
  <si>
    <t>TD 2023</t>
  </si>
  <si>
    <t>Adverso</t>
  </si>
  <si>
    <t>Esperado</t>
  </si>
  <si>
    <t>Ideal</t>
  </si>
  <si>
    <t>VALOR DE VENDA DO M²</t>
  </si>
  <si>
    <t>MENSAL</t>
  </si>
  <si>
    <t>(+) VALOR DE VENDA DA CASA</t>
  </si>
  <si>
    <t>(=) RECEITA DA VENDA</t>
  </si>
  <si>
    <t>GLOBAL</t>
  </si>
  <si>
    <t>(-) HONORÁRIOS CORRETAGEM</t>
  </si>
  <si>
    <t>(-) TRIBUTOS SOBRE VENDA</t>
  </si>
  <si>
    <t>(=) RECEITA LÍQUIDA</t>
  </si>
  <si>
    <t>(-) TERRENO</t>
  </si>
  <si>
    <t>(-) CONSTRUÇÃO</t>
  </si>
  <si>
    <t>(-) ADMINISTRAÇÃO DA OBRA</t>
  </si>
  <si>
    <t>(=) INVESTIMENTO TOTAL</t>
  </si>
  <si>
    <t>(=) LUCRO LÍQUIDO</t>
  </si>
  <si>
    <t>(=) LUCRATIVIDADE</t>
  </si>
  <si>
    <t>(=) RETORNO SOBRE O INVESTIMENTO - ROI</t>
  </si>
  <si>
    <t>(=) RETORNO SOBRE O PATRIMÔNIO LÍQUIDO - ROE</t>
  </si>
  <si>
    <t>CENÁRIOS DE RENTABILIDADE</t>
  </si>
  <si>
    <t>EVOLUÇÃO OBRA</t>
  </si>
  <si>
    <t>PARCELA PÓS OBRA</t>
  </si>
  <si>
    <t>MÊS</t>
  </si>
  <si>
    <t>*FINANCIAMENTO</t>
  </si>
  <si>
    <t>Cálculo de Área Equivalente</t>
  </si>
  <si>
    <t>Comparativo de Dados de Mercado</t>
  </si>
  <si>
    <t>Ambientes</t>
  </si>
  <si>
    <t>Quant.</t>
  </si>
  <si>
    <t>Área Média/Amb</t>
  </si>
  <si>
    <t>Área Real</t>
  </si>
  <si>
    <t>Coef. Área Equivalente</t>
  </si>
  <si>
    <t>Área Equivalente</t>
  </si>
  <si>
    <t xml:space="preserve">Padrão Construtivo </t>
  </si>
  <si>
    <t>CUB/m²</t>
  </si>
  <si>
    <t>VUR/m²</t>
  </si>
  <si>
    <t xml:space="preserve">Área privativa unidade autonoma </t>
  </si>
  <si>
    <t xml:space="preserve">Baixo </t>
  </si>
  <si>
    <t xml:space="preserve">Garagem </t>
  </si>
  <si>
    <t xml:space="preserve">Normal </t>
  </si>
  <si>
    <t>Alto</t>
  </si>
  <si>
    <t>Área privativa sala sem acabamento</t>
  </si>
  <si>
    <t>Varanda/Área Gourmet</t>
  </si>
  <si>
    <t xml:space="preserve">Coeficientes de Área Equivalentes         NBR 12721:2006 </t>
  </si>
  <si>
    <t>Estacionamento sobterreno</t>
  </si>
  <si>
    <t xml:space="preserve">Dormitórios </t>
  </si>
  <si>
    <t>Terraços ou área descoberta sobre laje</t>
  </si>
  <si>
    <t>Sala</t>
  </si>
  <si>
    <t>Calçadas ou jardins</t>
  </si>
  <si>
    <t>Cozinha</t>
  </si>
  <si>
    <t>barrilete e reservatório</t>
  </si>
  <si>
    <t>Banheiro</t>
  </si>
  <si>
    <t>DEPENDE</t>
  </si>
  <si>
    <t>Área Total</t>
  </si>
  <si>
    <t>Garagem</t>
  </si>
  <si>
    <t>Área de Serviço</t>
  </si>
  <si>
    <t>Cálculo de Construção</t>
  </si>
  <si>
    <t xml:space="preserve">Coef. </t>
  </si>
  <si>
    <t>Valor da Const. CUB/m²</t>
  </si>
  <si>
    <t>EMPREITA</t>
  </si>
  <si>
    <t>Área Gourmet</t>
  </si>
  <si>
    <t>CUB/m² (Mat. + M.O)</t>
  </si>
  <si>
    <t>Valor Médio p/ Construção</t>
  </si>
  <si>
    <t>-</t>
  </si>
  <si>
    <t>CUSTOS DO CUB</t>
  </si>
  <si>
    <t>CUSTOS POR EMPREITA</t>
  </si>
  <si>
    <t>ITEM</t>
  </si>
  <si>
    <t>Cust/m²</t>
  </si>
  <si>
    <t>Custo Total</t>
  </si>
  <si>
    <t xml:space="preserve">% </t>
  </si>
  <si>
    <t>MATERIAL</t>
  </si>
  <si>
    <t>MÃO DE OBRA</t>
  </si>
  <si>
    <t>(MO)EMPREITA</t>
  </si>
  <si>
    <t>CUSTO TOTAL</t>
  </si>
  <si>
    <t xml:space="preserve">Serviços e Taxas Extras </t>
  </si>
  <si>
    <t>Coef. (%)</t>
  </si>
  <si>
    <t>Valores Médios</t>
  </si>
  <si>
    <t>Projetos (Arq + Complementares)</t>
  </si>
  <si>
    <t xml:space="preserve">Gestão/Administração </t>
  </si>
  <si>
    <t>Taxas e Emolumentos</t>
  </si>
  <si>
    <t>LOTES</t>
  </si>
  <si>
    <t>V. VENDA</t>
  </si>
  <si>
    <t>ÁREA</t>
  </si>
  <si>
    <t>CUSTO/M²</t>
  </si>
  <si>
    <t>ESTUDO DE LOTE</t>
  </si>
  <si>
    <t>IMÓVEIS</t>
  </si>
  <si>
    <t>ESTUDO DE IMÓVEL</t>
  </si>
  <si>
    <t>PIOR</t>
  </si>
  <si>
    <t>MELHOR</t>
  </si>
  <si>
    <t>PISCINA</t>
  </si>
  <si>
    <t xml:space="preserve">EM 2022 </t>
  </si>
  <si>
    <t>EM 2021</t>
  </si>
  <si>
    <t>EM 2020</t>
  </si>
  <si>
    <t>HITORICO</t>
  </si>
  <si>
    <t>VALORIZAÇÃO</t>
  </si>
  <si>
    <t>R1</t>
  </si>
  <si>
    <t>pior (+10%)</t>
  </si>
  <si>
    <t>DINHEIRO</t>
  </si>
  <si>
    <t>ORÇAMENTO</t>
  </si>
  <si>
    <t>VAV</t>
  </si>
  <si>
    <t>VALOR FINANCIADO</t>
  </si>
  <si>
    <t>PROJEÇÃO</t>
  </si>
  <si>
    <t>V. FIN</t>
  </si>
  <si>
    <t>LOTE</t>
  </si>
  <si>
    <t>20 MIL DE RESERVA</t>
  </si>
  <si>
    <t>FATOR VALORIZAÇÃO</t>
  </si>
  <si>
    <t>VC</t>
  </si>
  <si>
    <t>K</t>
  </si>
  <si>
    <t>VI  HOJE</t>
  </si>
  <si>
    <t>A COST</t>
  </si>
  <si>
    <t>EXCELENT</t>
  </si>
  <si>
    <t>BANHEIROS ESPECIAIS</t>
  </si>
  <si>
    <t>CUSTO TOTAL PRO CLIENTE</t>
  </si>
  <si>
    <t>CUSTO POR M²</t>
  </si>
  <si>
    <t>M²</t>
  </si>
  <si>
    <t>ESTIMATIVA DE CUSTO</t>
  </si>
  <si>
    <t>COM FUNDAÇÃO</t>
  </si>
  <si>
    <t>ETAPA DA OBRA</t>
  </si>
  <si>
    <t>MO. (40%)</t>
  </si>
  <si>
    <t>MAT(60%)</t>
  </si>
  <si>
    <t>C/ VARIAÇÃO</t>
  </si>
  <si>
    <t>CUSTOS MÉDIOS DE MATERIAIS POR ETAPA</t>
  </si>
  <si>
    <t>1. Mob. e Desp. Gerais</t>
  </si>
  <si>
    <t>2. Serv. Preliminares</t>
  </si>
  <si>
    <t>3.Fundações</t>
  </si>
  <si>
    <t>4.Estrutura</t>
  </si>
  <si>
    <t>5. Vedações</t>
  </si>
  <si>
    <t>6. Rev. Cimento</t>
  </si>
  <si>
    <t>7. Inst. Eletricas</t>
  </si>
  <si>
    <t>8. Inst. Hidro</t>
  </si>
  <si>
    <t>9. Inst. Esepciais</t>
  </si>
  <si>
    <t>10. Impermeabilizações</t>
  </si>
  <si>
    <t>11. Revest e pisos</t>
  </si>
  <si>
    <t>12. Cobertura</t>
  </si>
  <si>
    <t>13. Esquadrias</t>
  </si>
  <si>
    <t>14. Luminotécnica</t>
  </si>
  <si>
    <t>15. Marmoraria e Louças</t>
  </si>
  <si>
    <t>16. Forro de gesso</t>
  </si>
  <si>
    <t>17. Pintura</t>
  </si>
  <si>
    <t>18. Pav. Externa</t>
  </si>
  <si>
    <t>19. Limpeza e BF</t>
  </si>
  <si>
    <t>21. Itens especiais</t>
  </si>
  <si>
    <t>20. Locação de Equip.</t>
  </si>
  <si>
    <t>TOTAL</t>
  </si>
  <si>
    <t>PERCENTUAL</t>
  </si>
  <si>
    <t>CUST. PREVISTO</t>
  </si>
  <si>
    <t>CUST. ORÇADO</t>
  </si>
  <si>
    <t>% ORC.</t>
  </si>
  <si>
    <t>REVESTIMENTOS</t>
  </si>
  <si>
    <t>PISO GERAL</t>
  </si>
  <si>
    <t>BANHEIROS</t>
  </si>
  <si>
    <t>COZINHA</t>
  </si>
  <si>
    <t>SERVIÇO</t>
  </si>
  <si>
    <t>COMODO</t>
  </si>
  <si>
    <t xml:space="preserve"> MAT.</t>
  </si>
  <si>
    <t>ARGAMASSA</t>
  </si>
  <si>
    <t>CUST. ANCORADO</t>
  </si>
  <si>
    <t>PREÇO ANCORADO</t>
  </si>
  <si>
    <t>2 M²/SC</t>
  </si>
  <si>
    <t>SC</t>
  </si>
  <si>
    <t>REJUNTE</t>
  </si>
  <si>
    <t>0,2 KG/M²</t>
  </si>
  <si>
    <t>TOTAL DE MATERIAL PARA REVESTIMENTOS</t>
  </si>
  <si>
    <t>ITENS RELEVANTES MAT</t>
  </si>
  <si>
    <t>DA OBRA</t>
  </si>
  <si>
    <t>MO</t>
  </si>
  <si>
    <t>TOTAL DA OBRA EM 6 ITENS</t>
  </si>
  <si>
    <t>EM VALOR</t>
  </si>
  <si>
    <t>LAJE</t>
  </si>
  <si>
    <t>CONCRETO</t>
  </si>
  <si>
    <t>38 M³</t>
  </si>
  <si>
    <t>AÇO</t>
  </si>
  <si>
    <t>MADEIRA</t>
  </si>
  <si>
    <t>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</si>
</sst>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#,##0.00\ &quot;m²&quot;"/>
    <numFmt numFmtId="165" formatCode="&quot;R$&quot;\ #,##0.00&quot;/m²&quot;"/>
    <numFmt numFmtId="166" formatCode="&quot;R$&quot;\ #,##0.00&quot;/ano&quot;"/>
    <numFmt numFmtId="167" formatCode="0.00%\ &quot;a.m.&quot;"/>
    <numFmt numFmtId="168" formatCode="&quot;R$&quot;\ #,##0.00"/>
    <numFmt numFmtId="169" formatCode="0.000%"/>
    <numFmt numFmtId="170" formatCode="00\ &quot;meses&quot;"/>
    <numFmt numFmtId="171" formatCode="0.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0"/>
      <name val="Heebo Regular"/>
    </font>
    <font>
      <sz val="12"/>
      <color theme="1"/>
      <name val="Heebo Regular"/>
    </font>
    <font>
      <sz val="12"/>
      <color rgb="FF000000"/>
      <name val="Heebo Regular"/>
    </font>
    <font>
      <sz val="12"/>
      <color rgb="FFFFFFFF"/>
      <name val="Heebo Regular"/>
    </font>
    <font>
      <b/>
      <sz val="12"/>
      <color theme="1"/>
      <name val="Heebo Regular"/>
    </font>
    <font>
      <sz val="12"/>
      <name val="Heebo Regular"/>
    </font>
    <font>
      <b/>
      <sz val="11"/>
      <color theme="0"/>
      <name val="Calibri"/>
      <family val="2"/>
      <scheme val="minor"/>
    </font>
    <font>
      <b/>
      <sz val="22"/>
      <color theme="1"/>
      <name val="Arial Black"/>
      <family val="2"/>
    </font>
    <font>
      <u/>
      <sz val="11"/>
      <color theme="10"/>
      <name val="Calibri"/>
      <family val="2"/>
      <scheme val="minor"/>
    </font>
    <font>
      <b/>
      <sz val="14"/>
      <color rgb="FF1F2A47"/>
      <name val="Arial"/>
      <family val="2"/>
    </font>
    <font>
      <sz val="14"/>
      <color rgb="FF1F2A47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13F75"/>
        <bgColor indexed="64"/>
      </patternFill>
    </fill>
    <fill>
      <patternFill patternType="solid">
        <fgColor rgb="FF0080B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medium">
        <color rgb="FFFFFFF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EEEEEE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93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4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44" fontId="5" fillId="5" borderId="5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/>
    </xf>
    <xf numFmtId="0" fontId="6" fillId="0" borderId="0" xfId="0" applyFont="1"/>
    <xf numFmtId="164" fontId="6" fillId="6" borderId="2" xfId="0" applyNumberFormat="1" applyFont="1" applyFill="1" applyBorder="1" applyProtection="1">
      <protection locked="0"/>
    </xf>
    <xf numFmtId="44" fontId="6" fillId="6" borderId="4" xfId="1" applyFont="1" applyFill="1" applyBorder="1" applyProtection="1">
      <protection locked="0"/>
    </xf>
    <xf numFmtId="165" fontId="6" fillId="7" borderId="8" xfId="0" applyNumberFormat="1" applyFont="1" applyFill="1" applyBorder="1" applyAlignment="1">
      <alignment horizontal="right" vertical="center"/>
    </xf>
    <xf numFmtId="10" fontId="6" fillId="6" borderId="4" xfId="2" applyNumberFormat="1" applyFont="1" applyFill="1" applyBorder="1" applyProtection="1">
      <protection locked="0"/>
    </xf>
    <xf numFmtId="166" fontId="6" fillId="6" borderId="4" xfId="2" applyNumberFormat="1" applyFont="1" applyFill="1" applyBorder="1" applyProtection="1">
      <protection locked="0"/>
    </xf>
    <xf numFmtId="44" fontId="6" fillId="7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44" fontId="0" fillId="0" borderId="0" xfId="0" applyNumberFormat="1"/>
    <xf numFmtId="0" fontId="2" fillId="0" borderId="0" xfId="0" applyFont="1"/>
    <xf numFmtId="164" fontId="5" fillId="0" borderId="2" xfId="0" applyNumberFormat="1" applyFont="1" applyBorder="1" applyAlignment="1" applyProtection="1">
      <alignment horizontal="right"/>
      <protection locked="0"/>
    </xf>
    <xf numFmtId="164" fontId="5" fillId="0" borderId="4" xfId="0" applyNumberFormat="1" applyFont="1" applyBorder="1" applyAlignment="1" applyProtection="1">
      <alignment horizontal="right"/>
      <protection locked="0"/>
    </xf>
    <xf numFmtId="0" fontId="5" fillId="0" borderId="4" xfId="0" applyFont="1" applyBorder="1" applyAlignment="1" applyProtection="1">
      <alignment horizontal="right"/>
      <protection locked="0"/>
    </xf>
    <xf numFmtId="165" fontId="5" fillId="0" borderId="4" xfId="0" applyNumberFormat="1" applyFont="1" applyBorder="1" applyAlignment="1" applyProtection="1">
      <alignment horizontal="right"/>
      <protection locked="0"/>
    </xf>
    <xf numFmtId="44" fontId="5" fillId="8" borderId="4" xfId="1" applyFont="1" applyFill="1" applyBorder="1" applyAlignment="1" applyProtection="1">
      <alignment horizontal="center" vertical="center"/>
      <protection locked="0"/>
    </xf>
    <xf numFmtId="44" fontId="5" fillId="0" borderId="4" xfId="0" applyNumberFormat="1" applyFont="1" applyBorder="1" applyAlignment="1" applyProtection="1">
      <alignment horizontal="right"/>
      <protection locked="0"/>
    </xf>
    <xf numFmtId="9" fontId="5" fillId="0" borderId="2" xfId="2" applyFont="1" applyBorder="1" applyAlignment="1" applyProtection="1">
      <alignment horizontal="right"/>
      <protection locked="0"/>
    </xf>
    <xf numFmtId="9" fontId="5" fillId="0" borderId="4" xfId="2" applyFont="1" applyBorder="1" applyAlignment="1" applyProtection="1">
      <alignment horizontal="right"/>
      <protection locked="0"/>
    </xf>
    <xf numFmtId="164" fontId="5" fillId="8" borderId="4" xfId="0" applyNumberFormat="1" applyFont="1" applyFill="1" applyBorder="1" applyAlignment="1" applyProtection="1">
      <alignment horizontal="center" vertical="center"/>
      <protection locked="0"/>
    </xf>
    <xf numFmtId="10" fontId="5" fillId="0" borderId="9" xfId="2" applyNumberFormat="1" applyFont="1" applyBorder="1" applyAlignment="1" applyProtection="1">
      <alignment horizontal="right"/>
      <protection locked="0"/>
    </xf>
    <xf numFmtId="0" fontId="5" fillId="0" borderId="10" xfId="0" applyFont="1" applyBorder="1"/>
    <xf numFmtId="10" fontId="5" fillId="5" borderId="11" xfId="2" applyNumberFormat="1" applyFont="1" applyFill="1" applyBorder="1" applyAlignment="1">
      <alignment horizontal="center" vertical="center"/>
    </xf>
    <xf numFmtId="0" fontId="5" fillId="0" borderId="12" xfId="0" applyFont="1" applyBorder="1"/>
    <xf numFmtId="168" fontId="5" fillId="0" borderId="0" xfId="0" applyNumberFormat="1" applyFont="1"/>
    <xf numFmtId="44" fontId="5" fillId="0" borderId="0" xfId="0" applyNumberFormat="1" applyFont="1"/>
    <xf numFmtId="169" fontId="5" fillId="0" borderId="0" xfId="2" applyNumberFormat="1" applyFont="1"/>
    <xf numFmtId="167" fontId="5" fillId="4" borderId="0" xfId="0" applyNumberFormat="1" applyFont="1" applyFill="1" applyAlignment="1">
      <alignment horizontal="center" vertical="center"/>
    </xf>
    <xf numFmtId="44" fontId="5" fillId="5" borderId="13" xfId="0" applyNumberFormat="1" applyFont="1" applyFill="1" applyBorder="1" applyAlignment="1">
      <alignment horizontal="center" vertical="center"/>
    </xf>
    <xf numFmtId="170" fontId="5" fillId="4" borderId="2" xfId="0" applyNumberFormat="1" applyFont="1" applyFill="1" applyBorder="1" applyProtection="1">
      <protection locked="0"/>
    </xf>
    <xf numFmtId="170" fontId="5" fillId="4" borderId="0" xfId="0" applyNumberFormat="1" applyFont="1" applyFill="1"/>
    <xf numFmtId="170" fontId="5" fillId="4" borderId="15" xfId="0" applyNumberFormat="1" applyFont="1" applyFill="1" applyBorder="1" applyProtection="1">
      <protection locked="0"/>
    </xf>
    <xf numFmtId="0" fontId="4" fillId="3" borderId="0" xfId="0" applyFont="1" applyFill="1" applyAlignment="1">
      <alignment horizontal="center" vertical="center"/>
    </xf>
    <xf numFmtId="165" fontId="5" fillId="4" borderId="0" xfId="0" applyNumberFormat="1" applyFont="1" applyFill="1"/>
    <xf numFmtId="0" fontId="4" fillId="2" borderId="0" xfId="0" applyFont="1" applyFill="1" applyAlignment="1">
      <alignment horizontal="right" vertical="center"/>
    </xf>
    <xf numFmtId="10" fontId="5" fillId="4" borderId="0" xfId="0" applyNumberFormat="1" applyFont="1" applyFill="1" applyAlignment="1" applyProtection="1">
      <alignment horizontal="center" vertical="center"/>
      <protection locked="0"/>
    </xf>
    <xf numFmtId="10" fontId="5" fillId="5" borderId="0" xfId="2" applyNumberFormat="1" applyFont="1" applyFill="1" applyAlignment="1">
      <alignment horizontal="center" vertical="center"/>
    </xf>
    <xf numFmtId="44" fontId="5" fillId="0" borderId="0" xfId="1" applyFont="1"/>
    <xf numFmtId="10" fontId="5" fillId="5" borderId="5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>
      <alignment horizontal="right" vertical="center"/>
    </xf>
    <xf numFmtId="10" fontId="5" fillId="5" borderId="7" xfId="2" applyNumberFormat="1" applyFont="1" applyFill="1" applyBorder="1" applyAlignment="1">
      <alignment horizontal="right" vertical="center"/>
    </xf>
    <xf numFmtId="10" fontId="5" fillId="5" borderId="14" xfId="2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167" fontId="5" fillId="5" borderId="11" xfId="0" applyNumberFormat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167" fontId="5" fillId="5" borderId="13" xfId="0" applyNumberFormat="1" applyFont="1" applyFill="1" applyBorder="1" applyAlignment="1">
      <alignment horizontal="right" vertical="center"/>
    </xf>
    <xf numFmtId="167" fontId="4" fillId="3" borderId="13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right" vertical="center"/>
    </xf>
    <xf numFmtId="167" fontId="5" fillId="5" borderId="14" xfId="0" applyNumberFormat="1" applyFont="1" applyFill="1" applyBorder="1" applyAlignment="1">
      <alignment horizontal="right" vertical="center"/>
    </xf>
    <xf numFmtId="165" fontId="5" fillId="9" borderId="4" xfId="0" applyNumberFormat="1" applyFont="1" applyFill="1" applyBorder="1" applyProtection="1">
      <protection locked="0"/>
    </xf>
    <xf numFmtId="165" fontId="5" fillId="9" borderId="16" xfId="0" applyNumberFormat="1" applyFont="1" applyFill="1" applyBorder="1" applyProtection="1">
      <protection locked="0"/>
    </xf>
    <xf numFmtId="44" fontId="5" fillId="4" borderId="0" xfId="1" applyFont="1" applyFill="1" applyAlignment="1">
      <alignment horizontal="center" vertical="center"/>
    </xf>
    <xf numFmtId="2" fontId="5" fillId="4" borderId="0" xfId="2" applyNumberFormat="1" applyFont="1" applyFill="1" applyAlignment="1">
      <alignment horizontal="center" vertical="center"/>
    </xf>
    <xf numFmtId="44" fontId="8" fillId="4" borderId="0" xfId="1" applyFont="1" applyFill="1" applyAlignment="1">
      <alignment horizontal="center" vertical="center"/>
    </xf>
    <xf numFmtId="10" fontId="5" fillId="4" borderId="7" xfId="2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/>
    </xf>
    <xf numFmtId="0" fontId="9" fillId="10" borderId="3" xfId="0" applyFont="1" applyFill="1" applyBorder="1" applyAlignment="1">
      <alignment horizontal="left"/>
    </xf>
    <xf numFmtId="0" fontId="5" fillId="5" borderId="0" xfId="0" applyFont="1" applyFill="1" applyAlignment="1">
      <alignment horizontal="center" vertical="center"/>
    </xf>
    <xf numFmtId="10" fontId="5" fillId="5" borderId="0" xfId="2" applyNumberFormat="1" applyFont="1" applyFill="1" applyBorder="1" applyAlignment="1">
      <alignment horizontal="center" vertical="center"/>
    </xf>
    <xf numFmtId="0" fontId="4" fillId="4" borderId="0" xfId="0" quotePrefix="1" applyFont="1" applyFill="1" applyAlignment="1">
      <alignment horizontal="right"/>
    </xf>
    <xf numFmtId="0" fontId="5" fillId="4" borderId="0" xfId="0" applyFont="1" applyFill="1" applyAlignment="1">
      <alignment horizontal="center" vertical="center"/>
    </xf>
    <xf numFmtId="44" fontId="5" fillId="4" borderId="0" xfId="0" applyNumberFormat="1" applyFont="1" applyFill="1" applyAlignment="1">
      <alignment horizontal="center" vertical="center"/>
    </xf>
    <xf numFmtId="9" fontId="5" fillId="4" borderId="0" xfId="2" applyFont="1" applyFill="1" applyBorder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10" fontId="5" fillId="4" borderId="0" xfId="0" applyNumberFormat="1" applyFont="1" applyFill="1" applyAlignment="1">
      <alignment horizontal="center" vertical="center"/>
    </xf>
    <xf numFmtId="0" fontId="4" fillId="3" borderId="17" xfId="0" quotePrefix="1" applyFont="1" applyFill="1" applyBorder="1" applyAlignment="1">
      <alignment horizontal="right"/>
    </xf>
    <xf numFmtId="0" fontId="5" fillId="4" borderId="17" xfId="0" applyFont="1" applyFill="1" applyBorder="1" applyAlignment="1" applyProtection="1">
      <alignment horizontal="center" vertical="center"/>
      <protection locked="0"/>
    </xf>
    <xf numFmtId="167" fontId="5" fillId="4" borderId="17" xfId="0" applyNumberFormat="1" applyFont="1" applyFill="1" applyBorder="1" applyAlignment="1" applyProtection="1">
      <alignment horizontal="center" vertical="center"/>
      <protection locked="0"/>
    </xf>
    <xf numFmtId="0" fontId="2" fillId="11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7" xfId="0" applyBorder="1"/>
    <xf numFmtId="44" fontId="0" fillId="0" borderId="17" xfId="1" applyFont="1" applyBorder="1"/>
    <xf numFmtId="0" fontId="0" fillId="0" borderId="17" xfId="0" applyBorder="1" applyAlignment="1">
      <alignment vertical="center"/>
    </xf>
    <xf numFmtId="2" fontId="0" fillId="0" borderId="17" xfId="1" applyNumberFormat="1" applyFont="1" applyFill="1" applyBorder="1" applyAlignment="1">
      <alignment vertical="center"/>
    </xf>
    <xf numFmtId="0" fontId="0" fillId="0" borderId="17" xfId="0" applyBorder="1" applyAlignment="1">
      <alignment horizontal="left" vertical="center" wrapText="1"/>
    </xf>
    <xf numFmtId="2" fontId="0" fillId="0" borderId="17" xfId="0" applyNumberFormat="1" applyBorder="1" applyAlignment="1">
      <alignment vertical="center"/>
    </xf>
    <xf numFmtId="2" fontId="2" fillId="0" borderId="1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11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2" fillId="9" borderId="17" xfId="0" applyFont="1" applyFill="1" applyBorder="1" applyAlignment="1">
      <alignment wrapText="1"/>
    </xf>
    <xf numFmtId="44" fontId="2" fillId="9" borderId="17" xfId="1" applyFont="1" applyFill="1" applyBorder="1" applyAlignment="1">
      <alignment vertical="center"/>
    </xf>
    <xf numFmtId="0" fontId="2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44" fontId="0" fillId="0" borderId="17" xfId="0" applyNumberFormat="1" applyBorder="1"/>
    <xf numFmtId="9" fontId="0" fillId="0" borderId="17" xfId="2" applyFont="1" applyBorder="1"/>
    <xf numFmtId="0" fontId="2" fillId="0" borderId="17" xfId="0" applyFont="1" applyBorder="1"/>
    <xf numFmtId="44" fontId="2" fillId="0" borderId="17" xfId="1" applyFont="1" applyBorder="1" applyAlignment="1"/>
    <xf numFmtId="44" fontId="2" fillId="0" borderId="17" xfId="0" applyNumberFormat="1" applyFont="1" applyBorder="1"/>
    <xf numFmtId="9" fontId="2" fillId="0" borderId="17" xfId="0" applyNumberFormat="1" applyFont="1" applyBorder="1"/>
    <xf numFmtId="0" fontId="2" fillId="11" borderId="17" xfId="0" applyFont="1" applyFill="1" applyBorder="1"/>
    <xf numFmtId="171" fontId="0" fillId="0" borderId="17" xfId="2" applyNumberFormat="1" applyFont="1" applyBorder="1"/>
    <xf numFmtId="0" fontId="4" fillId="17" borderId="1" xfId="0" quotePrefix="1" applyFont="1" applyFill="1" applyBorder="1" applyAlignment="1">
      <alignment horizontal="left"/>
    </xf>
    <xf numFmtId="0" fontId="4" fillId="17" borderId="3" xfId="0" quotePrefix="1" applyFont="1" applyFill="1" applyBorder="1" applyAlignment="1">
      <alignment horizontal="left"/>
    </xf>
    <xf numFmtId="0" fontId="4" fillId="17" borderId="3" xfId="0" applyFont="1" applyFill="1" applyBorder="1" applyAlignment="1">
      <alignment horizontal="left"/>
    </xf>
    <xf numFmtId="0" fontId="4" fillId="18" borderId="1" xfId="0" quotePrefix="1" applyFont="1" applyFill="1" applyBorder="1" applyAlignment="1">
      <alignment horizontal="left"/>
    </xf>
    <xf numFmtId="0" fontId="4" fillId="18" borderId="3" xfId="0" quotePrefix="1" applyFont="1" applyFill="1" applyBorder="1" applyAlignment="1">
      <alignment horizontal="left"/>
    </xf>
    <xf numFmtId="0" fontId="4" fillId="18" borderId="6" xfId="0" quotePrefix="1" applyFont="1" applyFill="1" applyBorder="1" applyAlignment="1">
      <alignment horizontal="left"/>
    </xf>
    <xf numFmtId="10" fontId="5" fillId="4" borderId="0" xfId="2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4" fontId="0" fillId="0" borderId="0" xfId="0" applyNumberFormat="1"/>
    <xf numFmtId="2" fontId="0" fillId="0" borderId="17" xfId="0" applyNumberFormat="1" applyBorder="1"/>
    <xf numFmtId="0" fontId="12" fillId="0" borderId="0" xfId="3"/>
    <xf numFmtId="44" fontId="0" fillId="0" borderId="0" xfId="1" applyFont="1"/>
    <xf numFmtId="9" fontId="0" fillId="0" borderId="0" xfId="2" applyFont="1"/>
    <xf numFmtId="0" fontId="4" fillId="17" borderId="3" xfId="0" applyFont="1" applyFill="1" applyBorder="1" applyAlignment="1">
      <alignment horizontal="right"/>
    </xf>
    <xf numFmtId="44" fontId="5" fillId="17" borderId="5" xfId="0" applyNumberFormat="1" applyFont="1" applyFill="1" applyBorder="1" applyAlignment="1">
      <alignment horizontal="center" vertical="center"/>
    </xf>
    <xf numFmtId="44" fontId="5" fillId="17" borderId="13" xfId="0" applyNumberFormat="1" applyFont="1" applyFill="1" applyBorder="1" applyAlignment="1">
      <alignment horizontal="center" vertical="center"/>
    </xf>
    <xf numFmtId="0" fontId="13" fillId="19" borderId="23" xfId="0" applyFont="1" applyFill="1" applyBorder="1" applyAlignment="1">
      <alignment horizontal="left" vertical="center" wrapText="1"/>
    </xf>
    <xf numFmtId="14" fontId="14" fillId="19" borderId="23" xfId="0" applyNumberFormat="1" applyFont="1" applyFill="1" applyBorder="1" applyAlignment="1">
      <alignment vertical="center" wrapText="1"/>
    </xf>
    <xf numFmtId="8" fontId="14" fillId="19" borderId="23" xfId="0" applyNumberFormat="1" applyFont="1" applyFill="1" applyBorder="1" applyAlignment="1">
      <alignment vertical="center" wrapText="1"/>
    </xf>
    <xf numFmtId="8" fontId="14" fillId="19" borderId="23" xfId="0" applyNumberFormat="1" applyFont="1" applyFill="1" applyBorder="1" applyAlignment="1">
      <alignment horizontal="center" vertical="center" wrapText="1"/>
    </xf>
    <xf numFmtId="8" fontId="13" fillId="19" borderId="23" xfId="0" applyNumberFormat="1" applyFont="1" applyFill="1" applyBorder="1" applyAlignment="1">
      <alignment horizontal="left" vertical="center" wrapText="1"/>
    </xf>
    <xf numFmtId="0" fontId="2" fillId="17" borderId="17" xfId="0" applyFont="1" applyFill="1" applyBorder="1" applyAlignment="1">
      <alignment horizontal="center"/>
    </xf>
    <xf numFmtId="44" fontId="2" fillId="17" borderId="17" xfId="1" applyFont="1" applyFill="1" applyBorder="1"/>
    <xf numFmtId="0" fontId="2" fillId="17" borderId="17" xfId="0" applyFont="1" applyFill="1" applyBorder="1"/>
    <xf numFmtId="44" fontId="2" fillId="17" borderId="17" xfId="0" applyNumberFormat="1" applyFont="1" applyFill="1" applyBorder="1"/>
    <xf numFmtId="0" fontId="0" fillId="17" borderId="0" xfId="0" applyFill="1"/>
    <xf numFmtId="44" fontId="0" fillId="17" borderId="0" xfId="1" applyFont="1" applyFill="1" applyBorder="1"/>
    <xf numFmtId="0" fontId="0" fillId="18" borderId="17" xfId="0" applyFill="1" applyBorder="1" applyAlignment="1">
      <alignment horizontal="center"/>
    </xf>
    <xf numFmtId="44" fontId="0" fillId="18" borderId="17" xfId="1" applyFont="1" applyFill="1" applyBorder="1"/>
    <xf numFmtId="2" fontId="0" fillId="18" borderId="17" xfId="0" applyNumberFormat="1" applyFill="1" applyBorder="1"/>
    <xf numFmtId="44" fontId="0" fillId="18" borderId="17" xfId="0" applyNumberFormat="1" applyFill="1" applyBorder="1"/>
    <xf numFmtId="9" fontId="0" fillId="0" borderId="0" xfId="0" applyNumberFormat="1"/>
    <xf numFmtId="4" fontId="5" fillId="4" borderId="17" xfId="0" applyNumberFormat="1" applyFont="1" applyFill="1" applyBorder="1" applyAlignment="1" applyProtection="1">
      <alignment horizontal="center" vertical="center"/>
      <protection locked="0"/>
    </xf>
    <xf numFmtId="44" fontId="0" fillId="9" borderId="17" xfId="1" applyFont="1" applyFill="1" applyBorder="1"/>
    <xf numFmtId="2" fontId="0" fillId="9" borderId="17" xfId="0" applyNumberFormat="1" applyFill="1" applyBorder="1"/>
    <xf numFmtId="3" fontId="0" fillId="0" borderId="0" xfId="0" applyNumberFormat="1"/>
    <xf numFmtId="0" fontId="2" fillId="20" borderId="17" xfId="0" applyFont="1" applyFill="1" applyBorder="1" applyAlignment="1">
      <alignment horizontal="center" vertical="center"/>
    </xf>
    <xf numFmtId="44" fontId="2" fillId="20" borderId="17" xfId="0" applyNumberFormat="1" applyFont="1" applyFill="1" applyBorder="1" applyAlignment="1">
      <alignment horizontal="center" vertical="center"/>
    </xf>
    <xf numFmtId="0" fontId="2" fillId="21" borderId="17" xfId="0" applyFont="1" applyFill="1" applyBorder="1"/>
    <xf numFmtId="44" fontId="2" fillId="21" borderId="17" xfId="0" applyNumberFormat="1" applyFont="1" applyFill="1" applyBorder="1"/>
    <xf numFmtId="0" fontId="2" fillId="0" borderId="16" xfId="0" applyFont="1" applyBorder="1"/>
    <xf numFmtId="10" fontId="2" fillId="0" borderId="17" xfId="2" applyNumberFormat="1" applyFont="1" applyBorder="1"/>
    <xf numFmtId="171" fontId="0" fillId="0" borderId="17" xfId="2" applyNumberFormat="1" applyFont="1" applyBorder="1" applyAlignment="1">
      <alignment horizontal="center"/>
    </xf>
    <xf numFmtId="0" fontId="0" fillId="8" borderId="17" xfId="0" applyFill="1" applyBorder="1"/>
    <xf numFmtId="171" fontId="0" fillId="8" borderId="17" xfId="2" applyNumberFormat="1" applyFont="1" applyFill="1" applyBorder="1" applyAlignment="1">
      <alignment horizontal="center"/>
    </xf>
    <xf numFmtId="44" fontId="0" fillId="8" borderId="17" xfId="0" applyNumberFormat="1" applyFill="1" applyBorder="1"/>
    <xf numFmtId="44" fontId="0" fillId="8" borderId="17" xfId="1" applyFont="1" applyFill="1" applyBorder="1"/>
    <xf numFmtId="9" fontId="0" fillId="0" borderId="0" xfId="0" applyNumberFormat="1" applyAlignment="1">
      <alignment horizontal="center"/>
    </xf>
    <xf numFmtId="0" fontId="2" fillId="8" borderId="0" xfId="0" applyFont="1" applyFill="1"/>
    <xf numFmtId="44" fontId="2" fillId="8" borderId="0" xfId="0" applyNumberFormat="1" applyFont="1" applyFill="1"/>
    <xf numFmtId="0" fontId="11" fillId="14" borderId="17" xfId="0" applyFont="1" applyFill="1" applyBorder="1" applyAlignment="1">
      <alignment horizontal="center" vertical="center"/>
    </xf>
    <xf numFmtId="0" fontId="11" fillId="15" borderId="1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9" borderId="0" xfId="0" applyFont="1" applyFill="1" applyAlignment="1">
      <alignment horizontal="center"/>
    </xf>
    <xf numFmtId="4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0" fillId="0" borderId="17" xfId="1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4" fontId="2" fillId="9" borderId="17" xfId="1" applyFont="1" applyFill="1" applyBorder="1" applyAlignment="1">
      <alignment horizontal="center" vertical="center"/>
    </xf>
    <xf numFmtId="0" fontId="10" fillId="13" borderId="19" xfId="0" applyFont="1" applyFill="1" applyBorder="1" applyAlignment="1">
      <alignment horizontal="center"/>
    </xf>
    <xf numFmtId="0" fontId="10" fillId="13" borderId="20" xfId="0" applyFont="1" applyFill="1" applyBorder="1" applyAlignment="1">
      <alignment horizontal="center"/>
    </xf>
    <xf numFmtId="0" fontId="10" fillId="13" borderId="21" xfId="0" applyFont="1" applyFill="1" applyBorder="1" applyAlignment="1">
      <alignment horizontal="center"/>
    </xf>
    <xf numFmtId="44" fontId="0" fillId="0" borderId="15" xfId="1" applyFont="1" applyBorder="1" applyAlignment="1">
      <alignment horizontal="center" vertical="center"/>
    </xf>
    <xf numFmtId="44" fontId="0" fillId="0" borderId="18" xfId="1" applyFont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wrapText="1"/>
    </xf>
    <xf numFmtId="0" fontId="2" fillId="12" borderId="2" xfId="0" applyFont="1" applyFill="1" applyBorder="1" applyAlignment="1">
      <alignment horizontal="center" wrapText="1"/>
    </xf>
    <xf numFmtId="0" fontId="2" fillId="12" borderId="6" xfId="0" applyFont="1" applyFill="1" applyBorder="1" applyAlignment="1">
      <alignment horizontal="center" wrapText="1"/>
    </xf>
    <xf numFmtId="0" fontId="2" fillId="12" borderId="9" xfId="0" applyFont="1" applyFill="1" applyBorder="1" applyAlignment="1">
      <alignment horizontal="center" wrapText="1"/>
    </xf>
    <xf numFmtId="0" fontId="2" fillId="0" borderId="17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17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171" fontId="2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20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1" fontId="0" fillId="0" borderId="0" xfId="0" applyNumberFormat="1" applyAlignment="1">
      <alignment horizontal="center"/>
    </xf>
    <xf numFmtId="171" fontId="2" fillId="0" borderId="0" xfId="0" applyNumberFormat="1" applyFont="1" applyAlignment="1">
      <alignment horizontal="center"/>
    </xf>
    <xf numFmtId="44" fontId="2" fillId="8" borderId="0" xfId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2" fillId="8" borderId="0" xfId="0" applyNumberFormat="1" applyFont="1" applyFill="1" applyAlignment="1">
      <alignment horizont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361950</xdr:colOff>
      <xdr:row>11</xdr:row>
      <xdr:rowOff>171450</xdr:rowOff>
    </xdr:from>
    <xdr:to>
      <xdr:col>16</xdr:col>
      <xdr:colOff>257176</xdr:colOff>
      <xdr:row>15</xdr:row>
      <xdr:rowOff>2026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F85C9B-64C4-412D-938D-9360E6B6B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8610" y="2366010"/>
          <a:ext cx="3552826" cy="744976"/>
        </a:xfrm>
        <a:prstGeom prst="rect">
          <a:avLst/>
        </a:prstGeom>
      </xdr:spPr>
    </xdr:pic>
    <xdr:clientData/>
  </xdr:twoCellAnchor>
  <xdr:twoCellAnchor editAs="oneCell">
    <xdr:from>
      <xdr:col>10</xdr:col>
      <xdr:colOff>359549</xdr:colOff>
      <xdr:row>2</xdr:row>
      <xdr:rowOff>92850</xdr:rowOff>
    </xdr:from>
    <xdr:to>
      <xdr:col>16</xdr:col>
      <xdr:colOff>247651</xdr:colOff>
      <xdr:row>8</xdr:row>
      <xdr:rowOff>180731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1918B03-2F6D-4F6D-9CFA-9FABE3B4F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6209" y="641490"/>
          <a:ext cx="3545702" cy="1550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711200</xdr:colOff>
      <xdr:row>54</xdr:row>
      <xdr:rowOff>63500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F58E1A3-A93E-4809-8523-4FAA8EA5EFA6}"/>
            </a:ext>
          </a:extLst>
        </xdr:cNvPr>
        <xdr:cNvSpPr txBox="1"/>
      </xdr:nvSpPr>
      <xdr:spPr>
        <a:xfrm>
          <a:off x="8437880" y="123240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0</xdr:row>
      <xdr:rowOff>68580</xdr:rowOff>
    </xdr:from>
    <xdr:to>
      <xdr:col>17</xdr:col>
      <xdr:colOff>29147</xdr:colOff>
      <xdr:row>26</xdr:row>
      <xdr:rowOff>129540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5A2E8C6-953D-441F-86C3-8BB65FDAE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1820" y="68580"/>
          <a:ext cx="3572447" cy="5013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AC32-2BDC-4DC1-A4ED-7374766ECB32}">
  <dimension ref="A1:M28"/>
  <sheetViews>
    <sheetView topLeftCell="F1" zoomScale="190" zoomScaleNormal="190" workbookViewId="0">
      <selection activeCell="M1" sqref="M1"/>
    </sheetView>
  </sheetViews>
  <sheetFormatPr defaultRowHeight="14.5"/>
  <cols>
    <col min="1" max="1" width="11.81640625" customWidth="1"/>
    <col min="2" max="2" width="15" customWidth="1"/>
    <col min="3" max="3" width="14.90625" customWidth="1"/>
    <col min="4" max="4" width="15.81640625" customWidth="1"/>
    <col min="5" max="5" width="9.453125" bestFit="1" customWidth="1"/>
    <col min="7" max="7" width="8.453125" bestFit="1" customWidth="1"/>
    <col min="8" max="8" width="14.1796875" bestFit="1" customWidth="1"/>
    <col min="9" max="9" width="14.1796875" customWidth="1"/>
    <col min="10" max="10" width="26.81640625" customWidth="1"/>
  </cols>
  <sheetData>
    <row r="1" spans="1:13" ht="34.75" customHeight="1">
      <c r="A1" s="154" t="s">
        <v>128</v>
      </c>
      <c r="B1" s="154"/>
      <c r="C1" s="154"/>
      <c r="D1" s="154"/>
      <c r="G1" s="155" t="s">
        <v>130</v>
      </c>
      <c r="H1" s="155"/>
      <c r="I1" s="155"/>
      <c r="J1" s="155"/>
    </row>
    <row r="2" spans="1:13">
      <c r="A2" s="98" t="s">
        <v>124</v>
      </c>
      <c r="B2" s="98" t="s">
        <v>125</v>
      </c>
      <c r="C2" s="98" t="s">
        <v>126</v>
      </c>
      <c r="D2" s="98" t="s">
        <v>127</v>
      </c>
      <c r="G2" s="98" t="s">
        <v>129</v>
      </c>
      <c r="H2" s="98" t="s">
        <v>125</v>
      </c>
      <c r="I2" s="98" t="s">
        <v>126</v>
      </c>
      <c r="J2" s="98" t="s">
        <v>127</v>
      </c>
    </row>
    <row r="3" spans="1:13">
      <c r="A3" s="91">
        <v>1</v>
      </c>
      <c r="B3" s="82">
        <v>150000</v>
      </c>
      <c r="C3" s="81">
        <f>12*21</f>
        <v>252</v>
      </c>
      <c r="D3" s="96">
        <f>B3/C3</f>
        <v>595.23809523809518</v>
      </c>
      <c r="G3" s="131">
        <v>1</v>
      </c>
      <c r="H3" s="132">
        <v>750000</v>
      </c>
      <c r="I3" s="133">
        <v>131</v>
      </c>
      <c r="J3" s="134">
        <f>H3/I3</f>
        <v>5725.1908396946565</v>
      </c>
      <c r="K3" s="114"/>
    </row>
    <row r="4" spans="1:13">
      <c r="A4" s="125">
        <v>2</v>
      </c>
      <c r="B4" s="126">
        <v>135000</v>
      </c>
      <c r="C4" s="127">
        <f t="shared" ref="C4:C7" si="0">12*21</f>
        <v>252</v>
      </c>
      <c r="D4" s="128">
        <f t="shared" ref="D4:D7" si="1">B4/C4</f>
        <v>535.71428571428567</v>
      </c>
      <c r="E4" t="s">
        <v>38</v>
      </c>
      <c r="G4" s="131">
        <v>2</v>
      </c>
      <c r="H4" s="132">
        <v>680000</v>
      </c>
      <c r="I4" s="133">
        <v>125</v>
      </c>
      <c r="J4" s="134">
        <f t="shared" ref="J4:J5" si="2">H4/I4</f>
        <v>5440</v>
      </c>
      <c r="K4" s="114"/>
      <c r="M4" s="112"/>
    </row>
    <row r="5" spans="1:13">
      <c r="A5" s="91">
        <v>3</v>
      </c>
      <c r="B5" s="82">
        <v>170000</v>
      </c>
      <c r="C5" s="81">
        <f t="shared" si="0"/>
        <v>252</v>
      </c>
      <c r="D5" s="96">
        <f t="shared" si="1"/>
        <v>674.60317460317458</v>
      </c>
      <c r="G5" s="91">
        <v>3</v>
      </c>
      <c r="H5" s="82">
        <v>630000</v>
      </c>
      <c r="I5" s="113">
        <v>123</v>
      </c>
      <c r="J5" s="96">
        <f t="shared" si="2"/>
        <v>5121.9512195121952</v>
      </c>
      <c r="K5" s="114"/>
    </row>
    <row r="6" spans="1:13">
      <c r="A6" s="91">
        <v>4</v>
      </c>
      <c r="B6" s="82">
        <v>190000</v>
      </c>
      <c r="C6" s="81">
        <f t="shared" si="0"/>
        <v>252</v>
      </c>
      <c r="D6" s="96">
        <f t="shared" si="1"/>
        <v>753.96825396825398</v>
      </c>
      <c r="G6" s="91"/>
      <c r="H6" s="82"/>
      <c r="I6" s="113"/>
      <c r="J6" s="96"/>
      <c r="K6" s="114"/>
    </row>
    <row r="7" spans="1:13">
      <c r="A7" s="91">
        <v>5</v>
      </c>
      <c r="B7" s="82">
        <v>155000</v>
      </c>
      <c r="C7" s="81">
        <f t="shared" si="0"/>
        <v>252</v>
      </c>
      <c r="D7" s="96">
        <f t="shared" si="1"/>
        <v>615.07936507936506</v>
      </c>
      <c r="G7" s="91"/>
      <c r="H7" s="137" t="s">
        <v>145</v>
      </c>
      <c r="I7" s="138">
        <v>5500</v>
      </c>
      <c r="J7" s="96"/>
      <c r="K7" s="114"/>
    </row>
    <row r="8" spans="1:13">
      <c r="A8" s="81"/>
      <c r="B8" s="81"/>
      <c r="C8" s="81"/>
      <c r="D8" s="81"/>
      <c r="G8" s="91"/>
      <c r="H8" s="82"/>
      <c r="I8" s="113"/>
      <c r="J8" s="96"/>
    </row>
    <row r="9" spans="1:13">
      <c r="B9" s="156" t="s">
        <v>137</v>
      </c>
      <c r="C9" s="156"/>
      <c r="H9" s="156" t="s">
        <v>137</v>
      </c>
      <c r="I9" s="156"/>
    </row>
    <row r="10" spans="1:13">
      <c r="B10" t="s">
        <v>134</v>
      </c>
      <c r="C10" s="115">
        <v>135000</v>
      </c>
      <c r="D10" s="115"/>
      <c r="E10" s="116">
        <v>0.4</v>
      </c>
      <c r="H10" t="s">
        <v>134</v>
      </c>
      <c r="I10" s="115">
        <v>580000</v>
      </c>
      <c r="K10">
        <v>5500</v>
      </c>
    </row>
    <row r="11" spans="1:13">
      <c r="B11" t="s">
        <v>135</v>
      </c>
      <c r="C11" s="115">
        <v>110000</v>
      </c>
      <c r="E11" s="115"/>
      <c r="H11" t="s">
        <v>135</v>
      </c>
      <c r="I11" s="115">
        <v>490000</v>
      </c>
      <c r="J11" t="s">
        <v>140</v>
      </c>
    </row>
    <row r="12" spans="1:13">
      <c r="B12" t="s">
        <v>136</v>
      </c>
      <c r="C12" s="115">
        <v>80000</v>
      </c>
      <c r="H12" t="s">
        <v>136</v>
      </c>
      <c r="I12" s="115">
        <v>400000</v>
      </c>
      <c r="J12" s="16">
        <f>J5*1.15</f>
        <v>5890.2439024390242</v>
      </c>
    </row>
    <row r="13" spans="1:13">
      <c r="B13" s="129">
        <v>2019</v>
      </c>
      <c r="C13" s="130">
        <v>73000</v>
      </c>
    </row>
    <row r="14" spans="1:13">
      <c r="J14" s="16">
        <f>J6*1.1</f>
        <v>0</v>
      </c>
    </row>
    <row r="16" spans="1:13">
      <c r="B16" s="157" t="s">
        <v>138</v>
      </c>
      <c r="C16" s="157"/>
      <c r="D16" s="157"/>
    </row>
    <row r="17" spans="2:10">
      <c r="B17" s="82">
        <v>625000</v>
      </c>
      <c r="C17" s="97">
        <v>0.3</v>
      </c>
      <c r="D17" s="96">
        <f>B17*C17+B17</f>
        <v>812500</v>
      </c>
    </row>
    <row r="18" spans="2:10">
      <c r="H18" t="s">
        <v>149</v>
      </c>
    </row>
    <row r="19" spans="2:10">
      <c r="G19" t="s">
        <v>150</v>
      </c>
      <c r="H19">
        <v>500</v>
      </c>
      <c r="I19" t="s">
        <v>151</v>
      </c>
    </row>
    <row r="20" spans="2:10">
      <c r="G20" s="135">
        <v>0.25</v>
      </c>
      <c r="H20">
        <f>H19*1.25</f>
        <v>625</v>
      </c>
      <c r="I20" t="s">
        <v>152</v>
      </c>
    </row>
    <row r="23" spans="2:10">
      <c r="G23" s="135">
        <v>0.3</v>
      </c>
      <c r="H23">
        <f>H20*1.3</f>
        <v>812.5</v>
      </c>
    </row>
    <row r="25" spans="2:10">
      <c r="H25">
        <v>750000</v>
      </c>
      <c r="J25">
        <v>850</v>
      </c>
    </row>
    <row r="26" spans="2:10">
      <c r="G26" t="s">
        <v>153</v>
      </c>
      <c r="H26">
        <f>H25/130</f>
        <v>5769.2307692307695</v>
      </c>
      <c r="I26" t="s">
        <v>37</v>
      </c>
    </row>
    <row r="27" spans="2:10">
      <c r="H27">
        <v>6000</v>
      </c>
      <c r="I27" t="s">
        <v>38</v>
      </c>
    </row>
    <row r="28" spans="2:10">
      <c r="H28">
        <v>6200</v>
      </c>
      <c r="I28" t="s">
        <v>154</v>
      </c>
    </row>
  </sheetData>
  <mergeCells count="5">
    <mergeCell ref="A1:D1"/>
    <mergeCell ref="G1:J1"/>
    <mergeCell ref="B9:C9"/>
    <mergeCell ref="H9:I9"/>
    <mergeCell ref="B16:D16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D066-F007-4AAA-845E-A7E2525E99DE}">
  <dimension ref="A1:J37"/>
  <sheetViews>
    <sheetView view="pageBreakPreview" topLeftCell="A7" zoomScaleNormal="90" zoomScaleSheetLayoutView="100" workbookViewId="0">
      <selection activeCell="G2" sqref="G2"/>
    </sheetView>
  </sheetViews>
  <sheetFormatPr defaultRowHeight="14.5"/>
  <cols>
    <col min="1" max="1" width="24.90625" customWidth="1"/>
    <col min="2" max="2" width="13.54296875" customWidth="1"/>
    <col min="3" max="3" width="15.08984375" customWidth="1"/>
    <col min="4" max="4" width="9.6328125" customWidth="1"/>
    <col min="5" max="5" width="15.453125" customWidth="1"/>
    <col min="6" max="6" width="15.36328125" customWidth="1"/>
    <col min="7" max="7" width="14.6328125" customWidth="1"/>
    <col min="8" max="8" width="18" customWidth="1"/>
    <col min="9" max="9" width="15.36328125" customWidth="1"/>
    <col min="10" max="10" width="14.90625" customWidth="1"/>
  </cols>
  <sheetData>
    <row r="1" spans="1:10">
      <c r="A1" s="170" t="s">
        <v>69</v>
      </c>
      <c r="B1" s="170"/>
      <c r="C1" s="170"/>
      <c r="D1" s="170"/>
      <c r="E1" s="170"/>
      <c r="F1" s="170"/>
      <c r="H1" s="171" t="s">
        <v>70</v>
      </c>
      <c r="I1" s="171"/>
      <c r="J1" s="171"/>
    </row>
    <row r="2" spans="1:10" ht="29">
      <c r="A2" s="77" t="s">
        <v>71</v>
      </c>
      <c r="B2" s="77" t="s">
        <v>72</v>
      </c>
      <c r="C2" s="78" t="s">
        <v>73</v>
      </c>
      <c r="D2" s="78" t="s">
        <v>74</v>
      </c>
      <c r="E2" s="78" t="s">
        <v>75</v>
      </c>
      <c r="F2" s="78" t="s">
        <v>76</v>
      </c>
      <c r="H2" s="78" t="s">
        <v>77</v>
      </c>
      <c r="I2" s="78" t="s">
        <v>78</v>
      </c>
      <c r="J2" s="78" t="s">
        <v>79</v>
      </c>
    </row>
    <row r="3" spans="1:10" ht="29">
      <c r="A3" s="85" t="s">
        <v>80</v>
      </c>
      <c r="B3" s="79">
        <v>1</v>
      </c>
      <c r="C3" s="80">
        <f>150-C4-C5</f>
        <v>124.30999999999999</v>
      </c>
      <c r="D3" s="80">
        <f>B3*C3</f>
        <v>124.30999999999999</v>
      </c>
      <c r="E3" s="80">
        <v>1</v>
      </c>
      <c r="F3" s="80">
        <f>D3*E3</f>
        <v>124.30999999999999</v>
      </c>
      <c r="H3" s="81" t="s">
        <v>81</v>
      </c>
      <c r="I3" s="82">
        <v>1752.57</v>
      </c>
      <c r="J3" s="82"/>
    </row>
    <row r="4" spans="1:10">
      <c r="A4" s="85" t="s">
        <v>82</v>
      </c>
      <c r="B4" s="79">
        <v>1</v>
      </c>
      <c r="C4" s="80">
        <v>14.18</v>
      </c>
      <c r="D4" s="80">
        <f>B4*C4</f>
        <v>14.18</v>
      </c>
      <c r="E4" s="80">
        <v>0.75</v>
      </c>
      <c r="F4" s="80">
        <f t="shared" ref="F4:F12" si="0">D4*E4</f>
        <v>10.635</v>
      </c>
      <c r="H4" s="81" t="s">
        <v>83</v>
      </c>
      <c r="I4" s="82">
        <v>2620.06</v>
      </c>
      <c r="J4" s="82"/>
    </row>
    <row r="5" spans="1:10">
      <c r="A5" s="85" t="s">
        <v>155</v>
      </c>
      <c r="B5" s="79">
        <v>1</v>
      </c>
      <c r="C5" s="80">
        <v>11.51</v>
      </c>
      <c r="D5" s="80">
        <f t="shared" ref="D5:D12" si="1">B5*C5</f>
        <v>11.51</v>
      </c>
      <c r="E5" s="80">
        <v>1.25</v>
      </c>
      <c r="F5" s="80">
        <f t="shared" si="0"/>
        <v>14.387499999999999</v>
      </c>
      <c r="G5" s="16"/>
      <c r="H5" s="81" t="s">
        <v>84</v>
      </c>
      <c r="I5" s="82">
        <v>2709.14</v>
      </c>
      <c r="J5" s="82"/>
    </row>
    <row r="6" spans="1:10" ht="29">
      <c r="A6" s="85" t="s">
        <v>85</v>
      </c>
      <c r="B6" s="79"/>
      <c r="C6" s="80"/>
      <c r="D6" s="80"/>
      <c r="E6" s="80"/>
      <c r="F6" s="80"/>
    </row>
    <row r="7" spans="1:10" ht="14.4" customHeight="1">
      <c r="A7" s="85" t="s">
        <v>86</v>
      </c>
      <c r="B7" s="79"/>
      <c r="C7" s="80"/>
      <c r="D7" s="80"/>
      <c r="E7" s="80"/>
      <c r="F7" s="80"/>
      <c r="G7" s="16"/>
      <c r="H7" s="172" t="s">
        <v>87</v>
      </c>
      <c r="I7" s="173"/>
    </row>
    <row r="8" spans="1:10">
      <c r="A8" s="85" t="s">
        <v>88</v>
      </c>
      <c r="B8" s="79"/>
      <c r="C8" s="80"/>
      <c r="D8" s="80"/>
      <c r="E8" s="80"/>
      <c r="F8" s="80"/>
      <c r="H8" s="174"/>
      <c r="I8" s="175"/>
    </row>
    <row r="9" spans="1:10">
      <c r="A9" s="85" t="s">
        <v>133</v>
      </c>
      <c r="B9" s="79"/>
      <c r="C9" s="80"/>
      <c r="D9" s="80"/>
      <c r="E9" s="80"/>
      <c r="F9" s="80"/>
      <c r="G9" s="16"/>
      <c r="H9" s="83" t="s">
        <v>89</v>
      </c>
      <c r="I9" s="84">
        <v>1</v>
      </c>
    </row>
    <row r="10" spans="1:10" ht="29">
      <c r="A10" s="85" t="s">
        <v>90</v>
      </c>
      <c r="B10" s="79">
        <v>1</v>
      </c>
      <c r="C10" s="80">
        <v>12.47</v>
      </c>
      <c r="D10" s="80">
        <f t="shared" si="1"/>
        <v>12.47</v>
      </c>
      <c r="E10" s="80">
        <v>0.5</v>
      </c>
      <c r="F10" s="80">
        <f t="shared" si="0"/>
        <v>6.2350000000000003</v>
      </c>
      <c r="H10" s="83" t="s">
        <v>91</v>
      </c>
      <c r="I10" s="86">
        <v>1</v>
      </c>
    </row>
    <row r="11" spans="1:10">
      <c r="A11" s="85" t="s">
        <v>92</v>
      </c>
      <c r="B11" s="79">
        <v>1</v>
      </c>
      <c r="C11" s="80">
        <v>25</v>
      </c>
      <c r="D11" s="80">
        <v>22</v>
      </c>
      <c r="E11" s="80">
        <v>0.1</v>
      </c>
      <c r="F11" s="80">
        <f t="shared" si="0"/>
        <v>2.2000000000000002</v>
      </c>
      <c r="G11" s="16"/>
      <c r="H11" s="83" t="s">
        <v>93</v>
      </c>
      <c r="I11" s="86">
        <v>1</v>
      </c>
    </row>
    <row r="12" spans="1:10">
      <c r="A12" s="85" t="s">
        <v>94</v>
      </c>
      <c r="B12" s="79">
        <v>1</v>
      </c>
      <c r="C12" s="80">
        <v>9</v>
      </c>
      <c r="D12" s="80">
        <f t="shared" si="1"/>
        <v>9</v>
      </c>
      <c r="E12" s="80">
        <v>0.4</v>
      </c>
      <c r="F12" s="80">
        <f t="shared" si="0"/>
        <v>3.6</v>
      </c>
      <c r="H12" s="83" t="s">
        <v>95</v>
      </c>
      <c r="I12" s="86">
        <v>1.2</v>
      </c>
      <c r="J12" t="s">
        <v>96</v>
      </c>
    </row>
    <row r="13" spans="1:10">
      <c r="A13" s="176" t="s">
        <v>97</v>
      </c>
      <c r="B13" s="176"/>
      <c r="C13" s="87">
        <f>SUM(C3:C12)</f>
        <v>196.46999999999997</v>
      </c>
      <c r="D13" s="87">
        <f>SUM(D3:D12)</f>
        <v>193.46999999999997</v>
      </c>
      <c r="E13" s="77"/>
      <c r="F13" s="87">
        <f>SUM(F3:F12)</f>
        <v>161.36749999999998</v>
      </c>
      <c r="H13" s="83" t="s">
        <v>98</v>
      </c>
      <c r="I13" s="86">
        <v>0.65</v>
      </c>
      <c r="J13" t="s">
        <v>96</v>
      </c>
    </row>
    <row r="14" spans="1:10">
      <c r="A14" s="88"/>
      <c r="B14" s="88"/>
      <c r="C14" s="89"/>
      <c r="D14" s="89"/>
      <c r="E14" s="88"/>
      <c r="F14" s="89"/>
      <c r="H14" s="83" t="s">
        <v>99</v>
      </c>
      <c r="I14" s="86">
        <v>0.5</v>
      </c>
      <c r="J14" t="s">
        <v>96</v>
      </c>
    </row>
    <row r="15" spans="1:10" ht="29">
      <c r="A15" s="170" t="s">
        <v>100</v>
      </c>
      <c r="B15" s="170"/>
      <c r="C15" s="170"/>
      <c r="D15" s="76" t="s">
        <v>101</v>
      </c>
      <c r="E15" s="90" t="s">
        <v>102</v>
      </c>
      <c r="F15" s="90" t="s">
        <v>103</v>
      </c>
      <c r="H15" s="83" t="s">
        <v>104</v>
      </c>
      <c r="I15" s="86">
        <v>0.65</v>
      </c>
    </row>
    <row r="16" spans="1:10">
      <c r="A16" s="81" t="s">
        <v>105</v>
      </c>
      <c r="B16" s="161">
        <f>I4</f>
        <v>2620.06</v>
      </c>
      <c r="C16" s="161"/>
      <c r="D16" s="162">
        <v>1</v>
      </c>
      <c r="E16" s="168">
        <f>B16*D16</f>
        <v>2620.06</v>
      </c>
      <c r="F16" s="168">
        <f>G26</f>
        <v>2422.0360000000001</v>
      </c>
    </row>
    <row r="17" spans="1:9">
      <c r="A17" s="81" t="s">
        <v>77</v>
      </c>
      <c r="B17" s="157" t="s">
        <v>83</v>
      </c>
      <c r="C17" s="157"/>
      <c r="D17" s="163"/>
      <c r="E17" s="169"/>
      <c r="F17" s="169"/>
    </row>
    <row r="18" spans="1:9">
      <c r="A18" s="92" t="s">
        <v>106</v>
      </c>
      <c r="B18" s="164" t="s">
        <v>107</v>
      </c>
      <c r="C18" s="164"/>
      <c r="D18" s="93"/>
      <c r="E18" s="93">
        <f>E16*F13</f>
        <v>422792.53204999992</v>
      </c>
      <c r="F18" s="93">
        <f>F16*F13</f>
        <v>390837.89422999998</v>
      </c>
      <c r="G18" s="16"/>
    </row>
    <row r="20" spans="1:9">
      <c r="A20" s="165" t="s">
        <v>108</v>
      </c>
      <c r="B20" s="166"/>
      <c r="C20" s="166"/>
      <c r="D20" s="167"/>
      <c r="F20" s="165" t="s">
        <v>109</v>
      </c>
      <c r="G20" s="166"/>
      <c r="H20" s="166"/>
      <c r="I20" s="167"/>
    </row>
    <row r="21" spans="1:9">
      <c r="A21" s="94" t="s">
        <v>110</v>
      </c>
      <c r="B21" s="94" t="s">
        <v>111</v>
      </c>
      <c r="C21" s="94" t="s">
        <v>112</v>
      </c>
      <c r="D21" s="94" t="s">
        <v>113</v>
      </c>
      <c r="E21" s="95"/>
      <c r="F21" s="94" t="s">
        <v>110</v>
      </c>
      <c r="G21" s="94" t="s">
        <v>111</v>
      </c>
      <c r="H21" s="94" t="s">
        <v>112</v>
      </c>
      <c r="I21" s="94" t="s">
        <v>113</v>
      </c>
    </row>
    <row r="22" spans="1:9">
      <c r="A22" s="81" t="s">
        <v>114</v>
      </c>
      <c r="B22" s="82">
        <f>B16*0.6</f>
        <v>1572.0359999999998</v>
      </c>
      <c r="C22" s="96">
        <f>B22*$F$13</f>
        <v>253675.51922999995</v>
      </c>
      <c r="D22" s="97">
        <f>B22/$B$26</f>
        <v>0.6</v>
      </c>
      <c r="F22" s="81" t="s">
        <v>114</v>
      </c>
      <c r="G22" s="82">
        <f>B16*0.6</f>
        <v>1572.0359999999998</v>
      </c>
      <c r="H22" s="96">
        <f>G22*$F$13</f>
        <v>253675.51922999995</v>
      </c>
      <c r="I22" s="97">
        <f>G22/$G$26</f>
        <v>0.6490555879433666</v>
      </c>
    </row>
    <row r="23" spans="1:9">
      <c r="A23" s="81" t="s">
        <v>115</v>
      </c>
      <c r="B23" s="82">
        <f>B16-B22</f>
        <v>1048.0240000000001</v>
      </c>
      <c r="C23" s="96">
        <f>B23*$F$13</f>
        <v>169117.01282</v>
      </c>
      <c r="D23" s="97">
        <f>B23/$B$26</f>
        <v>0.40000000000000008</v>
      </c>
      <c r="F23" s="81" t="s">
        <v>116</v>
      </c>
      <c r="G23" s="82">
        <v>850</v>
      </c>
      <c r="H23" s="96">
        <f>G23*$F$13</f>
        <v>137162.37499999997</v>
      </c>
      <c r="I23" s="97">
        <f>G23/$G$26</f>
        <v>0.35094441205663335</v>
      </c>
    </row>
    <row r="24" spans="1:9">
      <c r="A24" s="81"/>
      <c r="B24" s="82"/>
      <c r="C24" s="96"/>
      <c r="D24" s="97"/>
      <c r="F24" s="81"/>
      <c r="G24" s="82"/>
      <c r="H24" s="96"/>
      <c r="I24" s="97"/>
    </row>
    <row r="25" spans="1:9">
      <c r="A25" s="81"/>
      <c r="B25" s="82"/>
      <c r="C25" s="96"/>
      <c r="D25" s="97"/>
      <c r="F25" s="81"/>
      <c r="G25" s="82"/>
      <c r="H25" s="96"/>
      <c r="I25" s="97"/>
    </row>
    <row r="26" spans="1:9">
      <c r="A26" s="98" t="s">
        <v>117</v>
      </c>
      <c r="B26" s="99">
        <f>SUM(B22:B25)</f>
        <v>2620.06</v>
      </c>
      <c r="C26" s="100">
        <f>B26*$F$13</f>
        <v>422792.53204999992</v>
      </c>
      <c r="D26" s="101">
        <f>SUM(D22:D25)</f>
        <v>1</v>
      </c>
      <c r="E26" s="16"/>
      <c r="F26" s="98" t="s">
        <v>117</v>
      </c>
      <c r="G26" s="99">
        <f>SUM(G22:G25)</f>
        <v>2422.0360000000001</v>
      </c>
      <c r="H26" s="100">
        <f t="shared" ref="H26" si="2">G26*$F$13</f>
        <v>390837.89422999998</v>
      </c>
      <c r="I26" s="101">
        <f>SUM(I22:I25)</f>
        <v>1</v>
      </c>
    </row>
    <row r="28" spans="1:9">
      <c r="A28" s="76" t="s">
        <v>118</v>
      </c>
      <c r="B28" s="102" t="s">
        <v>119</v>
      </c>
      <c r="C28" s="76" t="s">
        <v>120</v>
      </c>
    </row>
    <row r="29" spans="1:9">
      <c r="A29" s="81" t="s">
        <v>121</v>
      </c>
      <c r="B29" s="103">
        <v>0.03</v>
      </c>
      <c r="C29" s="96">
        <f>B29*E18</f>
        <v>12683.775961499998</v>
      </c>
    </row>
    <row r="30" spans="1:9">
      <c r="A30" s="81" t="s">
        <v>122</v>
      </c>
      <c r="B30" s="103">
        <v>0.15</v>
      </c>
      <c r="C30" s="96">
        <f>B30*E18</f>
        <v>63418.879807499987</v>
      </c>
    </row>
    <row r="31" spans="1:9">
      <c r="A31" s="81" t="s">
        <v>123</v>
      </c>
      <c r="B31" s="103">
        <v>0.03</v>
      </c>
      <c r="C31" s="96">
        <f>(E18+C29+C30)*B31</f>
        <v>14966.855634569998</v>
      </c>
    </row>
    <row r="32" spans="1:9">
      <c r="C32" s="16">
        <f>SUM(C29:C31)</f>
        <v>91069.511403569981</v>
      </c>
    </row>
    <row r="33" spans="1:5">
      <c r="A33" s="158" t="s">
        <v>156</v>
      </c>
      <c r="B33" s="158"/>
      <c r="C33" s="158"/>
      <c r="D33" s="158"/>
    </row>
    <row r="34" spans="1:5">
      <c r="A34" s="159">
        <f>E18+C32</f>
        <v>513862.04345356987</v>
      </c>
      <c r="B34" s="160"/>
      <c r="C34" s="160"/>
      <c r="D34" s="160"/>
    </row>
    <row r="35" spans="1:5">
      <c r="A35" s="158" t="s">
        <v>157</v>
      </c>
      <c r="B35" s="158"/>
      <c r="C35" s="158"/>
      <c r="D35" s="158"/>
    </row>
    <row r="36" spans="1:5">
      <c r="A36" s="159">
        <f>A34/150</f>
        <v>3425.7469563571326</v>
      </c>
      <c r="B36" s="160"/>
      <c r="C36" s="160"/>
      <c r="D36" s="160"/>
      <c r="E36" t="s">
        <v>158</v>
      </c>
    </row>
    <row r="37" spans="1:5" ht="15" customHeight="1"/>
  </sheetData>
  <mergeCells count="17">
    <mergeCell ref="F20:I20"/>
    <mergeCell ref="E16:E17"/>
    <mergeCell ref="F16:F17"/>
    <mergeCell ref="B17:C17"/>
    <mergeCell ref="A1:F1"/>
    <mergeCell ref="H1:J1"/>
    <mergeCell ref="H7:I8"/>
    <mergeCell ref="A13:B13"/>
    <mergeCell ref="A15:C15"/>
    <mergeCell ref="A33:D33"/>
    <mergeCell ref="A34:D34"/>
    <mergeCell ref="A35:D35"/>
    <mergeCell ref="A36:D36"/>
    <mergeCell ref="B16:C16"/>
    <mergeCell ref="D16:D17"/>
    <mergeCell ref="B18:C18"/>
    <mergeCell ref="A20:D20"/>
  </mergeCells>
  <dataValidations disablePrompts="1" count="1">
    <dataValidation type="list" allowBlank="1" showInputMessage="1" showErrorMessage="1" sqref="B17:C17" xr:uid="{0C9D971B-0AD0-48D2-A721-C2CF9B7DA7ED}">
      <formula1>$H$3:$H$5</formula1>
    </dataValidation>
  </dataValidations>
  <pageMargins left="0.511811024" right="0.511811024" top="0.78740157499999996" bottom="0.78740157499999996" header="0.31496062000000002" footer="0.31496062000000002"/>
  <pageSetup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E794-9D2C-407C-AC6A-78856ADC8DE3}">
  <dimension ref="A1:N87"/>
  <sheetViews>
    <sheetView zoomScale="160" zoomScaleNormal="160" workbookViewId="0">
      <selection activeCell="B67" sqref="B67"/>
    </sheetView>
  </sheetViews>
  <sheetFormatPr defaultRowHeight="14.5"/>
  <cols>
    <col min="1" max="1" width="54.54296875" customWidth="1"/>
    <col min="2" max="2" width="22.81640625" customWidth="1"/>
    <col min="3" max="3" width="17.36328125" bestFit="1" customWidth="1"/>
    <col min="4" max="4" width="20.90625" customWidth="1"/>
    <col min="5" max="5" width="17.08984375" customWidth="1"/>
    <col min="6" max="6" width="27.90625" customWidth="1"/>
    <col min="7" max="8" width="17.36328125" bestFit="1" customWidth="1"/>
    <col min="9" max="9" width="25.08984375" customWidth="1"/>
    <col min="10" max="10" width="19.81640625" customWidth="1"/>
    <col min="11" max="11" width="20.6328125" customWidth="1"/>
    <col min="12" max="12" width="17.81640625" customWidth="1"/>
    <col min="13" max="13" width="24.1796875" customWidth="1"/>
  </cols>
  <sheetData>
    <row r="1" spans="1:6" ht="33" customHeight="1">
      <c r="A1" s="179" t="s">
        <v>9</v>
      </c>
      <c r="B1" s="179"/>
      <c r="C1" s="15"/>
      <c r="D1" s="15"/>
    </row>
    <row r="2" spans="1:6" ht="15.5">
      <c r="A2" s="8"/>
      <c r="B2" s="8"/>
    </row>
    <row r="3" spans="1:6" ht="15.5">
      <c r="A3" s="178" t="s">
        <v>0</v>
      </c>
      <c r="B3" s="178"/>
      <c r="D3" t="s">
        <v>11</v>
      </c>
      <c r="E3" t="s">
        <v>12</v>
      </c>
      <c r="F3" s="17" t="s">
        <v>10</v>
      </c>
    </row>
    <row r="4" spans="1:6" ht="15.5">
      <c r="A4" s="63" t="s">
        <v>1</v>
      </c>
      <c r="B4" s="9">
        <v>252</v>
      </c>
      <c r="D4">
        <v>12</v>
      </c>
      <c r="E4">
        <v>21</v>
      </c>
      <c r="F4">
        <f>D4*E4</f>
        <v>252</v>
      </c>
    </row>
    <row r="5" spans="1:6" ht="15.5">
      <c r="A5" s="64" t="s">
        <v>2</v>
      </c>
      <c r="B5" s="10">
        <v>135000</v>
      </c>
    </row>
    <row r="6" spans="1:6" ht="16" thickBot="1">
      <c r="A6" s="64" t="s">
        <v>3</v>
      </c>
      <c r="B6" s="11">
        <f>B5/B4</f>
        <v>535.71428571428567</v>
      </c>
    </row>
    <row r="7" spans="1:6" ht="15.5">
      <c r="A7" s="64" t="s">
        <v>4</v>
      </c>
      <c r="B7" s="12">
        <v>0.02</v>
      </c>
      <c r="D7" s="17" t="s">
        <v>4</v>
      </c>
      <c r="E7" s="16">
        <f>B5*2%</f>
        <v>2700</v>
      </c>
    </row>
    <row r="8" spans="1:6" ht="15.5">
      <c r="A8" s="64" t="s">
        <v>5</v>
      </c>
      <c r="B8" s="12">
        <v>0.01</v>
      </c>
      <c r="D8" s="17" t="s">
        <v>13</v>
      </c>
      <c r="E8" s="16">
        <f>B5*1%</f>
        <v>1350</v>
      </c>
    </row>
    <row r="9" spans="1:6" ht="15.5">
      <c r="A9" s="64" t="s">
        <v>6</v>
      </c>
      <c r="B9" s="13">
        <v>980</v>
      </c>
    </row>
    <row r="10" spans="1:6" ht="16" thickBot="1">
      <c r="A10" s="64" t="s">
        <v>7</v>
      </c>
      <c r="B10" s="14">
        <f>B5+(B5*(B7+B8))+(B9*(B50/12))</f>
        <v>139050</v>
      </c>
    </row>
    <row r="11" spans="1:6" ht="15.5">
      <c r="A11" s="8"/>
      <c r="B11" s="8"/>
    </row>
    <row r="12" spans="1:6" ht="15.5">
      <c r="A12" s="180" t="s">
        <v>14</v>
      </c>
      <c r="B12" s="180"/>
    </row>
    <row r="13" spans="1:6" ht="15.5">
      <c r="A13" s="2"/>
      <c r="B13" s="2"/>
      <c r="D13" t="s">
        <v>146</v>
      </c>
    </row>
    <row r="14" spans="1:6" ht="15.5">
      <c r="A14" s="104" t="s">
        <v>15</v>
      </c>
      <c r="B14" s="18">
        <v>140</v>
      </c>
      <c r="D14" s="112">
        <v>500000</v>
      </c>
    </row>
    <row r="15" spans="1:6" ht="15.5">
      <c r="A15" s="105" t="s">
        <v>16</v>
      </c>
      <c r="B15" s="19">
        <v>130</v>
      </c>
      <c r="C15" t="s">
        <v>147</v>
      </c>
      <c r="D15" s="112">
        <v>139050</v>
      </c>
    </row>
    <row r="16" spans="1:6" ht="15.5">
      <c r="A16" s="105" t="s">
        <v>17</v>
      </c>
      <c r="B16" s="20" t="s">
        <v>139</v>
      </c>
      <c r="D16" s="112">
        <f>D14-D15</f>
        <v>360950</v>
      </c>
    </row>
    <row r="17" spans="1:6" ht="15.5">
      <c r="A17" s="105" t="s">
        <v>18</v>
      </c>
      <c r="B17" s="21">
        <v>2044.4</v>
      </c>
      <c r="C17" t="s">
        <v>148</v>
      </c>
    </row>
    <row r="18" spans="1:6" ht="15.5">
      <c r="A18" s="105" t="s">
        <v>19</v>
      </c>
      <c r="B18" s="21">
        <v>1992.48</v>
      </c>
      <c r="D18" s="139">
        <v>340000</v>
      </c>
    </row>
    <row r="19" spans="1:6" ht="15.5">
      <c r="A19" s="105" t="s">
        <v>20</v>
      </c>
      <c r="B19" s="21">
        <v>2300</v>
      </c>
    </row>
    <row r="20" spans="1:6" ht="15.5">
      <c r="A20" s="105" t="s">
        <v>21</v>
      </c>
      <c r="B20" s="22" t="s">
        <v>142</v>
      </c>
    </row>
    <row r="21" spans="1:6" ht="16" thickBot="1">
      <c r="A21" s="105" t="s">
        <v>22</v>
      </c>
      <c r="B21" s="6">
        <f>IF(B20="CUB",B17*B15,IF(B20="HISTÓRICO",B18*B15,B19*B15))</f>
        <v>299000</v>
      </c>
    </row>
    <row r="22" spans="1:6" ht="15.5">
      <c r="A22" s="106" t="s">
        <v>23</v>
      </c>
      <c r="B22" s="23">
        <v>5000</v>
      </c>
    </row>
    <row r="23" spans="1:6" ht="15.5">
      <c r="A23" s="106" t="s">
        <v>24</v>
      </c>
      <c r="B23" s="23">
        <v>2000</v>
      </c>
    </row>
    <row r="24" spans="1:6" ht="15.5">
      <c r="A24" s="106" t="s">
        <v>25</v>
      </c>
      <c r="B24" s="23">
        <v>2000</v>
      </c>
    </row>
    <row r="25" spans="1:6" ht="15.5">
      <c r="A25" s="106" t="s">
        <v>26</v>
      </c>
      <c r="B25" s="23">
        <v>32000</v>
      </c>
    </row>
    <row r="26" spans="1:6" ht="16" thickBot="1">
      <c r="A26" s="105" t="s">
        <v>27</v>
      </c>
      <c r="B26" s="6">
        <f>B21+B22+B23+B24+B25</f>
        <v>340000</v>
      </c>
    </row>
    <row r="28" spans="1:6" ht="15.5">
      <c r="A28" s="181" t="s">
        <v>28</v>
      </c>
      <c r="B28" s="181"/>
    </row>
    <row r="29" spans="1:6" ht="15.5">
      <c r="A29" s="2"/>
      <c r="B29" s="2"/>
      <c r="F29">
        <v>480</v>
      </c>
    </row>
    <row r="30" spans="1:6" ht="15.5">
      <c r="A30" s="107" t="s">
        <v>29</v>
      </c>
      <c r="B30" s="24">
        <v>0</v>
      </c>
    </row>
    <row r="31" spans="1:6" ht="15.5">
      <c r="A31" s="108" t="s">
        <v>30</v>
      </c>
      <c r="B31" s="25">
        <v>0.05</v>
      </c>
    </row>
    <row r="32" spans="1:6" ht="15.5">
      <c r="A32" s="108" t="s">
        <v>31</v>
      </c>
      <c r="B32" s="26" t="s">
        <v>32</v>
      </c>
    </row>
    <row r="33" spans="1:14" ht="15.5">
      <c r="A33" s="108" t="s">
        <v>33</v>
      </c>
      <c r="B33" s="25">
        <v>0.15</v>
      </c>
    </row>
    <row r="34" spans="1:14" ht="15.5">
      <c r="A34" s="109" t="s">
        <v>34</v>
      </c>
      <c r="B34" s="27">
        <v>6.7299999999999999E-2</v>
      </c>
    </row>
    <row r="36" spans="1:14" ht="15.5">
      <c r="A36" s="3" t="s">
        <v>35</v>
      </c>
      <c r="B36" s="1" t="s">
        <v>36</v>
      </c>
      <c r="C36" s="2"/>
      <c r="D36" s="1" t="s">
        <v>65</v>
      </c>
      <c r="E36" s="2"/>
      <c r="F36" s="1" t="s">
        <v>66</v>
      </c>
      <c r="G36" s="2"/>
      <c r="H36" s="2"/>
      <c r="I36" s="2"/>
      <c r="J36" s="2"/>
      <c r="K36" s="2"/>
      <c r="L36" s="2"/>
      <c r="M36" s="2"/>
      <c r="N36" s="2"/>
    </row>
    <row r="37" spans="1:14" ht="15.5">
      <c r="A37" s="2"/>
      <c r="B37" s="2"/>
      <c r="C37" s="111" t="s">
        <v>67</v>
      </c>
      <c r="D37" s="2"/>
      <c r="E37" s="2"/>
      <c r="F37" s="2"/>
      <c r="G37" s="2"/>
      <c r="H37" s="2"/>
      <c r="I37" s="28"/>
      <c r="J37" s="2"/>
      <c r="K37" s="2"/>
      <c r="L37" s="2"/>
      <c r="M37" s="2"/>
      <c r="N37" s="2"/>
    </row>
    <row r="38" spans="1:14" ht="18" thickBot="1">
      <c r="A38" s="67"/>
      <c r="B38" s="110"/>
      <c r="C38" s="60">
        <v>0</v>
      </c>
      <c r="D38" s="29">
        <v>0.2</v>
      </c>
      <c r="E38" s="59">
        <f>(($D$38*$B$43)+($D$38*$B$43*0.0021))*(9.5/1200)</f>
        <v>793.32916666666677</v>
      </c>
      <c r="F38" s="122">
        <v>4427.5</v>
      </c>
      <c r="G38" s="2"/>
      <c r="H38" s="2"/>
      <c r="I38" s="30"/>
      <c r="J38" s="2"/>
      <c r="K38" s="31"/>
      <c r="L38" s="2"/>
      <c r="M38" s="2"/>
      <c r="N38" s="2"/>
    </row>
    <row r="39" spans="1:14" ht="18" thickBot="1">
      <c r="A39" s="67"/>
      <c r="B39" s="68"/>
      <c r="C39" s="60">
        <v>1</v>
      </c>
      <c r="D39" s="29">
        <v>0.25</v>
      </c>
      <c r="E39" s="59">
        <f>(($D$39*$B$43)+($D$39*$B$43*0.0021))*(9.5/1200)</f>
        <v>991.66145833333337</v>
      </c>
      <c r="F39" s="122">
        <v>4427.5</v>
      </c>
      <c r="G39" s="2"/>
      <c r="H39" s="2"/>
      <c r="I39" s="2"/>
      <c r="J39" s="2"/>
      <c r="K39" s="31"/>
      <c r="L39" s="2"/>
      <c r="M39" s="2"/>
      <c r="N39" s="2"/>
    </row>
    <row r="40" spans="1:14" ht="18" thickBot="1">
      <c r="A40" s="67"/>
      <c r="B40" s="110"/>
      <c r="C40" s="60">
        <v>2</v>
      </c>
      <c r="D40" s="29">
        <v>0.35</v>
      </c>
      <c r="E40" s="59">
        <f>(($D$40*$B$43)+($D$40*$B$43*0.0021))*(9.5/1200)</f>
        <v>1388.3260416666667</v>
      </c>
      <c r="F40" s="122">
        <v>4427.5</v>
      </c>
      <c r="G40" s="2"/>
      <c r="H40" s="2"/>
      <c r="I40" s="2"/>
      <c r="J40" s="2"/>
      <c r="K40" s="32"/>
      <c r="L40" s="2"/>
      <c r="M40" s="2"/>
      <c r="N40" s="2"/>
    </row>
    <row r="41" spans="1:14" ht="18" thickBot="1">
      <c r="A41" s="73" t="s">
        <v>39</v>
      </c>
      <c r="B41" s="74">
        <v>10</v>
      </c>
      <c r="C41" s="60">
        <v>3</v>
      </c>
      <c r="D41" s="29">
        <v>0.48</v>
      </c>
      <c r="E41" s="59">
        <f>(($D$41*$B$43)+($D$41*$B$43*0.0021))*(9.5/1200)</f>
        <v>1903.9900000000002</v>
      </c>
      <c r="F41" s="122">
        <v>4427.5</v>
      </c>
      <c r="G41" s="2"/>
      <c r="H41" s="2"/>
      <c r="I41" s="2"/>
      <c r="J41" s="2"/>
      <c r="K41" s="33"/>
      <c r="L41" s="2"/>
      <c r="M41" s="2"/>
      <c r="N41" s="2"/>
    </row>
    <row r="42" spans="1:14" ht="18" thickBot="1">
      <c r="A42" s="73" t="s">
        <v>8</v>
      </c>
      <c r="B42" s="75">
        <v>0.01</v>
      </c>
      <c r="C42" s="60">
        <v>4</v>
      </c>
      <c r="D42" s="29">
        <v>0.55000000000000004</v>
      </c>
      <c r="E42" s="59">
        <f>(($D$42*$B$43)+($D$42*$B$43*0.0021))*(9.5/1200)</f>
        <v>2181.6552083333336</v>
      </c>
      <c r="F42" s="122">
        <v>4427.5</v>
      </c>
      <c r="G42" s="2"/>
      <c r="H42" s="2"/>
      <c r="I42" s="2"/>
      <c r="J42" s="2"/>
      <c r="K42" s="2"/>
      <c r="L42" s="2"/>
      <c r="M42" s="2"/>
      <c r="N42" s="2"/>
    </row>
    <row r="43" spans="1:14" ht="18" thickBot="1">
      <c r="A43" s="73" t="s">
        <v>144</v>
      </c>
      <c r="B43" s="136">
        <v>500000</v>
      </c>
      <c r="C43" s="60">
        <v>5</v>
      </c>
      <c r="D43" s="29">
        <v>0.62</v>
      </c>
      <c r="E43" s="59">
        <f>(($D$43*$B$43)+($D$43*$B$43*0.0021))*(9.5/1200)</f>
        <v>2459.3204166666669</v>
      </c>
      <c r="F43" s="122">
        <v>4427.5</v>
      </c>
      <c r="G43" s="2"/>
      <c r="H43" s="2"/>
      <c r="I43" s="2"/>
      <c r="J43" s="2"/>
      <c r="K43" s="2"/>
      <c r="L43" s="2"/>
      <c r="M43" s="2"/>
      <c r="N43" s="2"/>
    </row>
    <row r="44" spans="1:14" ht="18" thickBot="1">
      <c r="A44" s="67" t="s">
        <v>143</v>
      </c>
      <c r="B44" s="68"/>
      <c r="C44" s="60">
        <v>6</v>
      </c>
      <c r="D44" s="29">
        <v>0.75</v>
      </c>
      <c r="E44" s="59">
        <f>(($D$44*$B$43)+($D$44*$B$43*0.0021))*(9.5/1200)</f>
        <v>2974.9843750000005</v>
      </c>
      <c r="F44" s="122">
        <v>4427.5</v>
      </c>
      <c r="G44" s="2"/>
      <c r="H44" s="2"/>
      <c r="I44" s="2"/>
      <c r="J44" s="2"/>
      <c r="K44" s="2"/>
      <c r="L44" s="2"/>
      <c r="M44" s="2"/>
      <c r="N44" s="2"/>
    </row>
    <row r="45" spans="1:14" ht="18" thickBot="1">
      <c r="A45" s="67"/>
      <c r="B45" s="69"/>
      <c r="C45" s="60">
        <v>7</v>
      </c>
      <c r="D45" s="29">
        <v>0.85</v>
      </c>
      <c r="E45" s="59">
        <f>(($D$45*$B$43)+($D$45*$B$43*0.0021))*(9.5/1200)</f>
        <v>3371.6489583333337</v>
      </c>
      <c r="F45" s="122">
        <v>4427.5</v>
      </c>
      <c r="G45" s="2"/>
      <c r="H45" s="2"/>
      <c r="I45" s="2"/>
      <c r="J45" s="2"/>
      <c r="K45" s="2"/>
      <c r="L45" s="2"/>
      <c r="M45" s="2"/>
      <c r="N45" s="2"/>
    </row>
    <row r="46" spans="1:14" ht="18" thickBot="1">
      <c r="A46" s="67"/>
      <c r="B46" s="69"/>
      <c r="C46" s="60">
        <v>8</v>
      </c>
      <c r="D46" s="29">
        <v>0.9</v>
      </c>
      <c r="E46" s="59">
        <f>(($D$46*$B$43)+($D$46*$B$43*0.0021))*(9.5/1200)</f>
        <v>3569.9812500000003</v>
      </c>
      <c r="F46" s="122">
        <v>4427.5</v>
      </c>
      <c r="G46" s="2"/>
      <c r="H46" s="2"/>
      <c r="I46" s="2"/>
      <c r="J46" s="2"/>
      <c r="K46" s="2"/>
      <c r="L46" s="2"/>
      <c r="M46" s="2"/>
      <c r="N46" s="2"/>
    </row>
    <row r="47" spans="1:14" ht="18" thickBot="1">
      <c r="A47" s="67"/>
      <c r="B47" s="70"/>
      <c r="C47" s="60">
        <v>9</v>
      </c>
      <c r="D47" s="29">
        <v>0.95</v>
      </c>
      <c r="E47" s="59">
        <f>(($D$47*$B$43)+($D$47*$B$43*0.0021))*(9.5/1200)</f>
        <v>3768.3135416666669</v>
      </c>
      <c r="F47" s="122">
        <v>4427.5</v>
      </c>
      <c r="G47" s="2"/>
      <c r="H47" s="2"/>
      <c r="I47" s="2"/>
      <c r="J47" s="2"/>
      <c r="K47" s="2"/>
      <c r="L47" s="2"/>
      <c r="M47" s="2"/>
      <c r="N47" s="2"/>
    </row>
    <row r="48" spans="1:14" ht="18" thickBot="1">
      <c r="A48" s="67"/>
      <c r="B48" s="71"/>
      <c r="C48" s="60">
        <v>10</v>
      </c>
      <c r="D48" s="29">
        <v>1</v>
      </c>
      <c r="E48" s="59">
        <f>(($D$48*$B$43)+($D$48*$B$43*0.0021))*(9.5/1200)</f>
        <v>3966.6458333333335</v>
      </c>
      <c r="F48" s="122">
        <v>4427.5</v>
      </c>
      <c r="G48" s="2"/>
      <c r="H48" s="2"/>
      <c r="I48" s="2"/>
      <c r="J48" s="2"/>
      <c r="K48" s="2"/>
      <c r="L48" s="2"/>
      <c r="M48" s="2"/>
      <c r="N48" s="2"/>
    </row>
    <row r="49" spans="1:14" ht="18" thickBot="1">
      <c r="A49" s="67"/>
      <c r="B49" s="72"/>
      <c r="C49" s="34"/>
      <c r="D49" s="29">
        <v>0</v>
      </c>
      <c r="E49" s="61">
        <f>SUM(E38:E48)</f>
        <v>27369.856250000001</v>
      </c>
      <c r="F49" s="122">
        <v>4427.5</v>
      </c>
      <c r="G49" s="2"/>
      <c r="H49" s="2"/>
      <c r="I49" s="2"/>
      <c r="J49" s="2"/>
      <c r="K49" s="2"/>
      <c r="L49" s="2"/>
      <c r="M49" s="2"/>
      <c r="N49" s="2"/>
    </row>
    <row r="50" spans="1:14" ht="18" thickBot="1">
      <c r="A50" s="67"/>
      <c r="B50" s="68"/>
      <c r="C50" s="34"/>
      <c r="D50" s="29">
        <v>0</v>
      </c>
      <c r="E50" s="34"/>
      <c r="F50" s="122">
        <v>4427.5</v>
      </c>
      <c r="G50" s="2"/>
      <c r="H50" s="2"/>
      <c r="I50" s="2"/>
      <c r="J50" s="2"/>
      <c r="K50" s="2"/>
      <c r="L50" s="2"/>
      <c r="M50" s="2"/>
      <c r="N50" s="2"/>
    </row>
    <row r="51" spans="1:14" ht="15.5">
      <c r="A51" s="67"/>
      <c r="B51" s="68"/>
      <c r="C51" s="34"/>
      <c r="D51" s="66"/>
      <c r="E51" s="34"/>
      <c r="F51" s="65"/>
      <c r="G51" s="2"/>
      <c r="H51" s="2"/>
      <c r="I51" s="2"/>
      <c r="J51" s="2"/>
      <c r="K51" s="2"/>
      <c r="L51" s="2"/>
      <c r="M51" s="2"/>
      <c r="N51" s="2"/>
    </row>
    <row r="52" spans="1:14" ht="15.5">
      <c r="A52" s="67"/>
      <c r="B52" s="68"/>
      <c r="C52" s="34"/>
      <c r="D52" s="66"/>
      <c r="E52" s="34"/>
      <c r="F52" s="65"/>
      <c r="G52" s="2"/>
      <c r="H52" s="2"/>
      <c r="I52" s="2"/>
      <c r="J52" s="2"/>
      <c r="K52" s="2"/>
      <c r="L52" s="2"/>
      <c r="M52" s="2"/>
      <c r="N52" s="2"/>
    </row>
    <row r="53" spans="1:14" ht="15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5.5">
      <c r="A54" s="1" t="s">
        <v>40</v>
      </c>
      <c r="B54" s="1" t="s">
        <v>131</v>
      </c>
      <c r="C54" s="2"/>
      <c r="D54" s="1" t="s">
        <v>37</v>
      </c>
      <c r="E54" s="2"/>
      <c r="F54" s="1" t="s">
        <v>132</v>
      </c>
      <c r="G54" s="2"/>
      <c r="H54" s="2"/>
      <c r="I54" s="177" t="s">
        <v>41</v>
      </c>
      <c r="J54" s="177"/>
      <c r="K54" s="177"/>
      <c r="L54" s="177"/>
      <c r="M54" s="177"/>
      <c r="N54" s="2"/>
    </row>
    <row r="55" spans="1:14" ht="15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5.5">
      <c r="A56" s="4" t="s">
        <v>42</v>
      </c>
      <c r="B56" s="36">
        <v>12</v>
      </c>
      <c r="C56" s="37"/>
      <c r="D56" s="38">
        <v>7</v>
      </c>
      <c r="E56" s="2"/>
      <c r="F56" s="38">
        <v>7</v>
      </c>
      <c r="G56" s="2"/>
      <c r="H56" s="2"/>
      <c r="I56" s="39" t="s">
        <v>43</v>
      </c>
      <c r="J56" s="39" t="s">
        <v>44</v>
      </c>
      <c r="K56" s="39" t="s">
        <v>45</v>
      </c>
      <c r="L56" s="39" t="s">
        <v>46</v>
      </c>
      <c r="M56" s="39" t="s">
        <v>47</v>
      </c>
      <c r="N56" s="2"/>
    </row>
    <row r="57" spans="1:14" ht="15.5">
      <c r="A57" s="5" t="s">
        <v>48</v>
      </c>
      <c r="B57" s="57">
        <v>5750</v>
      </c>
      <c r="C57" s="40"/>
      <c r="D57" s="58">
        <v>6000</v>
      </c>
      <c r="E57" s="2"/>
      <c r="F57" s="58">
        <v>6300</v>
      </c>
      <c r="G57" s="2"/>
      <c r="H57" s="41" t="s">
        <v>49</v>
      </c>
      <c r="I57" s="42">
        <v>2.7000000000000001E-3</v>
      </c>
      <c r="J57" s="42">
        <v>4.241E-3</v>
      </c>
      <c r="K57" s="43">
        <f>D75</f>
        <v>3.7865322693508841E-2</v>
      </c>
      <c r="L57" s="43">
        <f>D76</f>
        <v>4.07139715394782E-2</v>
      </c>
      <c r="M57" s="43">
        <f>D77</f>
        <v>4.8497357026487053E-2</v>
      </c>
      <c r="N57" s="2"/>
    </row>
    <row r="58" spans="1:14" ht="16" thickBot="1">
      <c r="A58" s="5" t="s">
        <v>50</v>
      </c>
      <c r="B58" s="6">
        <f>B57*B14</f>
        <v>805000</v>
      </c>
      <c r="C58" s="2"/>
      <c r="D58" s="35">
        <f>D57*$B$14</f>
        <v>840000</v>
      </c>
      <c r="E58" s="32"/>
      <c r="F58" s="35">
        <f>F57*$B$14</f>
        <v>882000</v>
      </c>
      <c r="G58" s="2"/>
      <c r="H58" s="41" t="s">
        <v>52</v>
      </c>
      <c r="I58" s="43">
        <f>(1+I57)^D56-1</f>
        <v>1.9053780768059525E-2</v>
      </c>
      <c r="J58" s="43">
        <f>(1+J57)^D56-1</f>
        <v>3.006738881625326E-2</v>
      </c>
      <c r="K58" s="43">
        <f>(1+K57)^D56-1</f>
        <v>0.29714047333263727</v>
      </c>
      <c r="L58" s="43">
        <f>(1+L57)^D56-1</f>
        <v>0.32226863062310751</v>
      </c>
      <c r="M58" s="43">
        <f>(1+M57)^D56-1</f>
        <v>0.39306499843440101</v>
      </c>
      <c r="N58" s="2"/>
    </row>
    <row r="59" spans="1:14" ht="16" thickBot="1">
      <c r="A59" s="5" t="s">
        <v>51</v>
      </c>
      <c r="B59" s="6">
        <f>B58</f>
        <v>805000</v>
      </c>
      <c r="C59" s="2"/>
      <c r="D59" s="35">
        <f>D58</f>
        <v>840000</v>
      </c>
      <c r="E59" s="32"/>
      <c r="F59" s="35">
        <f>F58</f>
        <v>882000</v>
      </c>
      <c r="G59" s="2"/>
      <c r="H59" s="2"/>
      <c r="I59" s="2"/>
      <c r="J59" s="2"/>
      <c r="K59" s="2"/>
      <c r="L59" s="2"/>
      <c r="M59" s="2"/>
      <c r="N59" s="2"/>
    </row>
    <row r="60" spans="1:14" ht="16" thickBot="1">
      <c r="A60" s="5" t="s">
        <v>53</v>
      </c>
      <c r="B60" s="6">
        <f>B58*$B$31</f>
        <v>40250</v>
      </c>
      <c r="C60" s="32"/>
      <c r="D60" s="35">
        <f>D58*$B$31</f>
        <v>42000</v>
      </c>
      <c r="E60" s="32"/>
      <c r="F60" s="35">
        <f>F58*$B$31</f>
        <v>44100</v>
      </c>
      <c r="G60" s="2"/>
      <c r="H60" s="2"/>
      <c r="I60" s="2"/>
      <c r="J60" s="2"/>
      <c r="K60" s="2"/>
      <c r="L60" s="2"/>
      <c r="M60" s="2"/>
      <c r="N60" s="2"/>
    </row>
    <row r="61" spans="1:14" ht="16" thickBot="1">
      <c r="A61" s="5" t="s">
        <v>54</v>
      </c>
      <c r="B61" s="6">
        <f>IF(B32="PESSOA JURÍDICA",0.0673*B58,IF(B32="PESSOA FÍSICA",0.15*(B58-B60-B66),""))</f>
        <v>42855</v>
      </c>
      <c r="C61" s="44"/>
      <c r="D61" s="35">
        <f>IF(B32="PESSOA JURÍDICA",B34*D58,IF(B32="PESSOA FÍSICA",B33*(D58-D60-D66),""))</f>
        <v>47842.5</v>
      </c>
      <c r="E61" s="44"/>
      <c r="F61" s="35">
        <f>IF(B32="PESSOA JURÍDICA",B34*F58,IF(B32="PESSOA FÍSICA",B33*(F58-F60-F66),""))</f>
        <v>53827.5</v>
      </c>
      <c r="G61" s="2"/>
      <c r="H61" s="2"/>
      <c r="I61" s="2"/>
      <c r="J61" s="2"/>
      <c r="K61" s="2"/>
      <c r="L61" s="2"/>
      <c r="M61" s="2"/>
      <c r="N61" s="2"/>
    </row>
    <row r="62" spans="1:14" ht="16" thickBot="1">
      <c r="A62" s="5" t="s">
        <v>55</v>
      </c>
      <c r="B62" s="6">
        <f>B59-B60-B61</f>
        <v>721895</v>
      </c>
      <c r="C62" s="32"/>
      <c r="D62" s="35">
        <f>D58-D60-D61</f>
        <v>750157.5</v>
      </c>
      <c r="E62" s="32"/>
      <c r="F62" s="35">
        <f>F58-F60-F61</f>
        <v>784072.5</v>
      </c>
      <c r="G62" s="2"/>
      <c r="H62" s="2"/>
      <c r="I62" s="2"/>
      <c r="J62" s="2"/>
      <c r="K62" s="2"/>
      <c r="L62" s="2"/>
      <c r="M62" s="2"/>
      <c r="N62" s="2"/>
    </row>
    <row r="63" spans="1:14" ht="16" thickBot="1">
      <c r="A63" s="5" t="s">
        <v>56</v>
      </c>
      <c r="B63" s="6">
        <f>B10</f>
        <v>139050</v>
      </c>
      <c r="C63" s="32"/>
      <c r="D63" s="35">
        <f>B63</f>
        <v>139050</v>
      </c>
      <c r="E63" s="32"/>
      <c r="F63" s="35">
        <f>D63</f>
        <v>139050</v>
      </c>
      <c r="G63" s="2"/>
      <c r="H63" s="2"/>
      <c r="I63" s="2"/>
      <c r="J63" s="2"/>
      <c r="K63" s="2"/>
      <c r="L63" s="2"/>
      <c r="M63" s="2"/>
      <c r="N63" s="2"/>
    </row>
    <row r="64" spans="1:14" ht="16" thickBot="1">
      <c r="A64" s="5" t="s">
        <v>57</v>
      </c>
      <c r="B64" s="6">
        <f>$B$26</f>
        <v>340000</v>
      </c>
      <c r="C64" s="31"/>
      <c r="D64" s="35">
        <f>$B$26</f>
        <v>340000</v>
      </c>
      <c r="E64" s="32"/>
      <c r="F64" s="35">
        <f>$B$26</f>
        <v>340000</v>
      </c>
      <c r="G64" s="2"/>
      <c r="H64" s="2"/>
      <c r="I64" s="2"/>
      <c r="J64" s="2"/>
      <c r="K64" s="2"/>
      <c r="L64" s="2"/>
      <c r="M64" s="2"/>
      <c r="N64" s="2"/>
    </row>
    <row r="65" spans="1:14" ht="16" thickBot="1">
      <c r="A65" s="5" t="s">
        <v>58</v>
      </c>
      <c r="B65" s="6">
        <f>IFERROR(B64*B30,0)</f>
        <v>0</v>
      </c>
      <c r="C65" s="31"/>
      <c r="D65" s="35">
        <f>IFERROR(D64*B30,0)</f>
        <v>0</v>
      </c>
      <c r="E65" s="32"/>
      <c r="F65" s="35">
        <f>IFERROR(F64*B30,0)</f>
        <v>0</v>
      </c>
      <c r="G65" s="2"/>
      <c r="H65" s="2"/>
      <c r="I65" s="2"/>
      <c r="J65" s="2"/>
      <c r="K65" s="2"/>
      <c r="L65" s="2"/>
      <c r="M65" s="2"/>
      <c r="N65" s="2"/>
    </row>
    <row r="66" spans="1:14" ht="16" thickBot="1">
      <c r="A66" s="5" t="s">
        <v>59</v>
      </c>
      <c r="B66" s="6">
        <f>B63+B64+B65</f>
        <v>479050</v>
      </c>
      <c r="C66" s="31" t="s">
        <v>141</v>
      </c>
      <c r="D66" s="35">
        <f>D63+D64+D65</f>
        <v>479050</v>
      </c>
      <c r="E66" s="32" t="s">
        <v>141</v>
      </c>
      <c r="F66" s="35">
        <f>F63+F64+F65</f>
        <v>479050</v>
      </c>
      <c r="G66" s="32" t="s">
        <v>141</v>
      </c>
      <c r="H66" s="2"/>
      <c r="I66" s="2"/>
      <c r="J66" s="2"/>
      <c r="K66" s="2"/>
      <c r="L66" s="2"/>
      <c r="M66" s="2"/>
      <c r="N66" s="2"/>
    </row>
    <row r="67" spans="1:14" ht="16" thickBot="1">
      <c r="A67" s="5" t="s">
        <v>60</v>
      </c>
      <c r="B67" s="6">
        <f>B62-B66-B68-B65-20000</f>
        <v>142345.14374999999</v>
      </c>
      <c r="C67" s="32">
        <f>B62-B66</f>
        <v>242845</v>
      </c>
      <c r="D67" s="35">
        <f>D62-D66-D68-D68+D65</f>
        <v>154382.78749999998</v>
      </c>
      <c r="E67" s="32">
        <f>D62-D66</f>
        <v>271107.5</v>
      </c>
      <c r="F67" s="35">
        <f>F62-F66-F68-F68+F65</f>
        <v>188297.78749999998</v>
      </c>
      <c r="G67" s="32">
        <f>F62-F66</f>
        <v>305022.5</v>
      </c>
      <c r="H67" s="32"/>
      <c r="I67" s="2"/>
      <c r="J67" s="2"/>
      <c r="K67" s="2"/>
      <c r="L67" s="2"/>
      <c r="M67" s="2"/>
      <c r="N67" s="2"/>
    </row>
    <row r="68" spans="1:14" ht="16" thickBot="1">
      <c r="A68" s="117" t="s">
        <v>68</v>
      </c>
      <c r="B68" s="118">
        <f>E49+B56*F38</f>
        <v>80499.856249999997</v>
      </c>
      <c r="C68" s="32">
        <f>C67/22</f>
        <v>11038.40909090909</v>
      </c>
      <c r="D68" s="119">
        <f>E49+D56*F50</f>
        <v>58362.356249999997</v>
      </c>
      <c r="F68" s="119">
        <f>E49+F56*F50</f>
        <v>58362.356249999997</v>
      </c>
      <c r="G68" s="32"/>
      <c r="H68" s="2"/>
      <c r="I68" s="2"/>
      <c r="J68" s="2"/>
      <c r="K68" s="2"/>
      <c r="L68" s="2"/>
      <c r="M68" s="2"/>
      <c r="N68" s="2"/>
    </row>
    <row r="69" spans="1:14" ht="16" thickBot="1">
      <c r="A69" s="5" t="s">
        <v>61</v>
      </c>
      <c r="B69" s="45">
        <f>B67/B59</f>
        <v>0.1768262655279503</v>
      </c>
      <c r="C69" s="32"/>
      <c r="D69" s="46">
        <f>D67/D59</f>
        <v>0.18378903273809521</v>
      </c>
      <c r="E69" s="2"/>
      <c r="F69" s="46">
        <f>F67/F59</f>
        <v>0.21348955498866209</v>
      </c>
      <c r="G69" s="32">
        <f>F67/17</f>
        <v>11076.34044117647</v>
      </c>
      <c r="H69" s="32">
        <f>G67/17</f>
        <v>17942.5</v>
      </c>
      <c r="I69" s="2"/>
      <c r="J69" s="2"/>
      <c r="K69" s="2"/>
      <c r="L69" s="2"/>
      <c r="M69" s="2"/>
      <c r="N69" s="2"/>
    </row>
    <row r="70" spans="1:14" ht="16" thickBot="1">
      <c r="A70" s="5" t="s">
        <v>62</v>
      </c>
      <c r="B70" s="45">
        <f>B67/B66</f>
        <v>0.29714047333263749</v>
      </c>
      <c r="C70" s="32"/>
      <c r="D70" s="46">
        <f>D67/D68</f>
        <v>2.6452459670868751</v>
      </c>
      <c r="E70" s="32">
        <f>D67/17</f>
        <v>9081.3404411764695</v>
      </c>
      <c r="F70" s="46">
        <f>F67/F68</f>
        <v>3.2263568436718142</v>
      </c>
      <c r="G70" s="32"/>
      <c r="H70" s="2"/>
      <c r="I70" s="2"/>
      <c r="J70" s="2"/>
      <c r="K70" s="2"/>
      <c r="L70" s="2"/>
      <c r="M70" s="2"/>
      <c r="N70" s="2"/>
    </row>
    <row r="71" spans="1:14" ht="15.5">
      <c r="A71" s="7" t="s">
        <v>63</v>
      </c>
      <c r="B71" s="47">
        <f>ABS(B67/B66)</f>
        <v>0.29714047333263749</v>
      </c>
      <c r="C71" s="62"/>
      <c r="D71" s="48">
        <f>ABS(D67/D66)</f>
        <v>0.32226863062310818</v>
      </c>
      <c r="E71" s="32">
        <f>E67/17</f>
        <v>15947.5</v>
      </c>
      <c r="F71" s="48">
        <f>ABS(F67/F66)</f>
        <v>0.39306499843440135</v>
      </c>
      <c r="G71" s="2"/>
      <c r="H71" s="2"/>
      <c r="I71" s="2"/>
      <c r="J71" s="2"/>
      <c r="K71" s="2"/>
      <c r="L71" s="2"/>
      <c r="M71" s="2"/>
      <c r="N71" s="2"/>
    </row>
    <row r="72" spans="1:14" ht="15.5">
      <c r="A72" s="2"/>
      <c r="B72" s="2"/>
      <c r="C72" s="2"/>
      <c r="D72" s="2"/>
      <c r="E72" s="32"/>
      <c r="F72" s="2"/>
      <c r="G72" s="2"/>
      <c r="H72" s="2"/>
      <c r="I72" s="2"/>
      <c r="J72" s="2"/>
      <c r="K72" s="2"/>
      <c r="L72" s="2"/>
      <c r="M72" s="2"/>
      <c r="N72" s="2"/>
    </row>
    <row r="73" spans="1:14" ht="15.5">
      <c r="A73" s="49" t="s">
        <v>64</v>
      </c>
      <c r="B73" s="1" t="s">
        <v>36</v>
      </c>
      <c r="C73" s="2"/>
      <c r="D73" s="1" t="s">
        <v>37</v>
      </c>
      <c r="E73" s="2"/>
      <c r="F73" s="1" t="s">
        <v>38</v>
      </c>
      <c r="G73" s="2"/>
      <c r="H73" s="2"/>
      <c r="I73" s="2"/>
      <c r="J73" s="2"/>
      <c r="K73" s="2"/>
      <c r="L73" s="2"/>
      <c r="M73" s="2"/>
      <c r="N73" s="2"/>
    </row>
    <row r="74" spans="1:14" ht="15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6" thickBot="1">
      <c r="A75" s="50" t="s">
        <v>36</v>
      </c>
      <c r="B75" s="51">
        <f>(1+B71)^(1/B56)-1</f>
        <v>2.1916906639500633E-2</v>
      </c>
      <c r="C75" s="2"/>
      <c r="D75" s="51">
        <f>(1+B71)^(1/D56)-1</f>
        <v>3.7865322693508841E-2</v>
      </c>
      <c r="E75" s="2"/>
      <c r="F75" s="51">
        <f>(1+B71)^(1/F56)-1</f>
        <v>3.7865322693508841E-2</v>
      </c>
      <c r="G75" s="2"/>
      <c r="H75" s="2"/>
      <c r="I75" s="2"/>
      <c r="J75" s="2"/>
      <c r="K75" s="2"/>
      <c r="L75" s="2"/>
      <c r="M75" s="2"/>
      <c r="N75" s="2"/>
    </row>
    <row r="76" spans="1:14" ht="16" thickBot="1">
      <c r="A76" s="52" t="s">
        <v>37</v>
      </c>
      <c r="B76" s="53">
        <f>(1+D71)^(1/B56)-1</f>
        <v>2.3552149295363645E-2</v>
      </c>
      <c r="C76" s="2"/>
      <c r="D76" s="54">
        <f>(1+D71)^(1/D56)-1</f>
        <v>4.07139715394782E-2</v>
      </c>
      <c r="E76" s="2"/>
      <c r="F76" s="53">
        <f>(1+D71)^(1/F56)-1</f>
        <v>4.07139715394782E-2</v>
      </c>
      <c r="G76" s="31"/>
      <c r="H76" s="2"/>
      <c r="I76" s="2"/>
      <c r="J76" s="2"/>
      <c r="K76" s="2"/>
      <c r="L76" s="2"/>
      <c r="M76" s="2"/>
      <c r="N76" s="2"/>
    </row>
    <row r="77" spans="1:14" ht="15.5">
      <c r="A77" s="55" t="s">
        <v>38</v>
      </c>
      <c r="B77" s="56">
        <f>(1+F71)^(1/B56)-1</f>
        <v>2.801065271121983E-2</v>
      </c>
      <c r="C77" s="2"/>
      <c r="D77" s="56">
        <f>(1+F71)^(1/D56)-1</f>
        <v>4.8497357026487053E-2</v>
      </c>
      <c r="E77" s="2"/>
      <c r="F77" s="56">
        <f>(1+F71)^(1/F56)-1</f>
        <v>4.8497357026487053E-2</v>
      </c>
      <c r="G77" s="31"/>
      <c r="H77" s="2"/>
      <c r="I77" s="2"/>
      <c r="J77" s="2"/>
      <c r="K77" s="2"/>
      <c r="L77" s="2"/>
      <c r="M77" s="2"/>
      <c r="N77" s="2"/>
    </row>
    <row r="78" spans="1:14" ht="15.5">
      <c r="A78" s="2"/>
      <c r="B78" s="2"/>
      <c r="C78" s="2"/>
      <c r="D78" s="2"/>
      <c r="E78" s="2"/>
      <c r="F78" s="2"/>
      <c r="G78" s="31"/>
      <c r="H78" s="2"/>
      <c r="I78" s="2"/>
      <c r="J78" s="2"/>
      <c r="K78" s="2"/>
      <c r="L78" s="2"/>
      <c r="M78" s="2"/>
      <c r="N78" s="2"/>
    </row>
    <row r="79" spans="1:14" ht="15.5">
      <c r="H79" s="2"/>
      <c r="I79" s="2"/>
      <c r="J79" s="2"/>
      <c r="K79" s="2"/>
      <c r="L79" s="2"/>
      <c r="M79" s="2"/>
      <c r="N79" s="2"/>
    </row>
    <row r="80" spans="1:14" ht="15.5">
      <c r="H80" s="2"/>
      <c r="I80" s="2"/>
      <c r="J80" s="2"/>
      <c r="K80" s="2"/>
      <c r="L80" s="2"/>
      <c r="M80" s="2"/>
      <c r="N80" s="2"/>
    </row>
    <row r="81" spans="2:14" ht="15.5">
      <c r="H81" s="2"/>
      <c r="I81" s="2"/>
      <c r="J81" s="2"/>
      <c r="K81" s="2"/>
      <c r="L81" s="2"/>
      <c r="M81" s="2"/>
      <c r="N81" s="2"/>
    </row>
    <row r="82" spans="2:14" ht="15.5">
      <c r="H82" s="2"/>
      <c r="I82" s="2"/>
      <c r="J82" s="2"/>
      <c r="K82" s="2"/>
      <c r="L82" s="2"/>
      <c r="M82" s="2"/>
      <c r="N82" s="2"/>
    </row>
    <row r="83" spans="2:14" ht="15.5">
      <c r="H83" s="2"/>
      <c r="I83" s="2"/>
      <c r="J83" s="2"/>
      <c r="K83" s="2"/>
      <c r="L83" s="2"/>
      <c r="M83" s="2"/>
      <c r="N83" s="2"/>
    </row>
    <row r="84" spans="2:14" ht="15.5">
      <c r="H84" s="2"/>
      <c r="I84" s="2"/>
      <c r="J84" s="2"/>
      <c r="K84" s="2"/>
      <c r="L84" s="2"/>
      <c r="M84" s="2"/>
      <c r="N84" s="2"/>
    </row>
    <row r="85" spans="2:14" ht="15.5">
      <c r="N85" s="2"/>
    </row>
    <row r="87" spans="2:14">
      <c r="B87" s="135"/>
    </row>
  </sheetData>
  <mergeCells count="5">
    <mergeCell ref="I54:M54"/>
    <mergeCell ref="A3:B3"/>
    <mergeCell ref="A1:B1"/>
    <mergeCell ref="A12:B12"/>
    <mergeCell ref="A28:B28"/>
  </mergeCells>
  <conditionalFormatting sqref="B49">
    <cfRule type="cellIs" dxfId="1" priority="3" operator="greaterThan">
      <formula>0.8</formula>
    </cfRule>
    <cfRule type="cellIs" dxfId="0" priority="6" operator="lessThan">
      <formula>0</formula>
    </cfRule>
  </conditionalFormatting>
  <dataValidations disablePrompts="1" count="2">
    <dataValidation type="list" showInputMessage="1" showErrorMessage="1" sqref="B20" xr:uid="{C7A033B3-3C52-4F93-9E0B-29717790861A}">
      <formula1>"CUB,HISTÓRICO,ORÇAMENTO"</formula1>
    </dataValidation>
    <dataValidation type="list" allowBlank="1" showInputMessage="1" showErrorMessage="1" sqref="B32" xr:uid="{8E2623FF-BA9E-41D5-AE07-0629D72827DB}">
      <formula1>"PESSOA FÍSICA,PESSOA JURÍDICA"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4FB7-98CA-4EB8-B286-821D9C00CBEE}">
  <dimension ref="A1:J34"/>
  <sheetViews>
    <sheetView tabSelected="1" zoomScaleNormal="100" workbookViewId="0">
      <selection activeCell="G19" sqref="G19"/>
    </sheetView>
  </sheetViews>
  <sheetFormatPr defaultRowHeight="14.5"/>
  <cols>
    <col min="1" max="1" width="22.1796875" customWidth="1"/>
    <col min="2" max="2" width="16" customWidth="1"/>
    <col min="3" max="3" width="15.08984375" customWidth="1"/>
    <col min="4" max="4" width="17.54296875" customWidth="1"/>
    <col min="5" max="5" width="10.36328125" customWidth="1"/>
    <col min="6" max="6" width="11.6328125" customWidth="1"/>
    <col min="7" max="7" width="12.90625" bestFit="1" customWidth="1"/>
    <col min="9" max="9" width="12.90625" bestFit="1" customWidth="1"/>
    <col min="10" max="10" width="13.54296875" customWidth="1"/>
  </cols>
  <sheetData>
    <row r="1" spans="1:10" ht="25.25" customHeight="1">
      <c r="A1" s="140" t="s">
        <v>159</v>
      </c>
      <c r="B1" s="140" t="s">
        <v>160</v>
      </c>
      <c r="C1" s="140" t="s">
        <v>162</v>
      </c>
      <c r="D1" s="140" t="s">
        <v>163</v>
      </c>
    </row>
    <row r="2" spans="1:10" ht="28.75" customHeight="1">
      <c r="A2" s="141">
        <f>'ÁREA EQUIVALENTE'!E18</f>
        <v>422792.53204999992</v>
      </c>
      <c r="B2" s="141">
        <f>A2/0.96</f>
        <v>440408.8875520833</v>
      </c>
      <c r="C2" s="141">
        <f>B2*0.4</f>
        <v>176163.55502083333</v>
      </c>
      <c r="D2" s="141">
        <f>B2-C2</f>
        <v>264245.33253124997</v>
      </c>
    </row>
    <row r="3" spans="1:10">
      <c r="C3" s="142" t="s">
        <v>164</v>
      </c>
      <c r="D3" s="143">
        <f>D2*0.9</f>
        <v>237820.79927812496</v>
      </c>
    </row>
    <row r="5" spans="1:10" ht="19.25" customHeight="1">
      <c r="A5" s="184" t="s">
        <v>165</v>
      </c>
      <c r="B5" s="184"/>
      <c r="C5" s="184"/>
      <c r="D5" s="184"/>
      <c r="E5" s="184"/>
    </row>
    <row r="6" spans="1:10" ht="19.25" customHeight="1">
      <c r="A6" s="140" t="s">
        <v>161</v>
      </c>
      <c r="B6" s="140" t="s">
        <v>188</v>
      </c>
      <c r="C6" s="140" t="s">
        <v>189</v>
      </c>
      <c r="D6" s="140" t="s">
        <v>190</v>
      </c>
      <c r="E6" s="140" t="s">
        <v>191</v>
      </c>
      <c r="G6" s="185"/>
      <c r="H6" s="185"/>
      <c r="I6" s="185"/>
      <c r="J6" s="185"/>
    </row>
    <row r="7" spans="1:10">
      <c r="A7" s="81" t="s">
        <v>166</v>
      </c>
      <c r="B7" s="146">
        <v>1.4999999999999999E-2</v>
      </c>
      <c r="C7" s="96">
        <f>B7*$D$3</f>
        <v>3567.3119891718743</v>
      </c>
      <c r="D7" s="82"/>
      <c r="E7" s="148">
        <f t="shared" ref="E7:E27" si="0">D7/$D$3</f>
        <v>0</v>
      </c>
    </row>
    <row r="8" spans="1:10">
      <c r="A8" s="81" t="s">
        <v>167</v>
      </c>
      <c r="B8" s="146">
        <v>0.01</v>
      </c>
      <c r="C8" s="96">
        <f t="shared" ref="C8:C27" si="1">B8*$D$3</f>
        <v>2378.2079927812497</v>
      </c>
      <c r="D8" s="82"/>
      <c r="E8" s="148">
        <f t="shared" si="0"/>
        <v>0</v>
      </c>
      <c r="I8" s="16">
        <f>D2*22%</f>
        <v>58133.973156874992</v>
      </c>
    </row>
    <row r="9" spans="1:10">
      <c r="A9" s="147" t="s">
        <v>168</v>
      </c>
      <c r="B9" s="148">
        <v>0.06</v>
      </c>
      <c r="C9" s="149">
        <f t="shared" si="1"/>
        <v>14269.247956687497</v>
      </c>
      <c r="D9" s="150">
        <v>0</v>
      </c>
      <c r="E9" s="148">
        <f>D9/$D$3</f>
        <v>0</v>
      </c>
    </row>
    <row r="10" spans="1:10">
      <c r="A10" s="147" t="s">
        <v>169</v>
      </c>
      <c r="B10" s="148">
        <v>0.16</v>
      </c>
      <c r="C10" s="149">
        <f t="shared" si="1"/>
        <v>38051.327884499995</v>
      </c>
      <c r="D10" s="150">
        <v>0</v>
      </c>
      <c r="E10" s="148">
        <f t="shared" si="0"/>
        <v>0</v>
      </c>
      <c r="I10" t="s">
        <v>217</v>
      </c>
      <c r="J10" s="16">
        <f>C9+C10</f>
        <v>52320.575841187492</v>
      </c>
    </row>
    <row r="11" spans="1:10">
      <c r="A11" s="81" t="s">
        <v>170</v>
      </c>
      <c r="B11" s="146">
        <v>0.06</v>
      </c>
      <c r="C11" s="96">
        <f t="shared" si="1"/>
        <v>14269.247956687497</v>
      </c>
      <c r="D11" s="82"/>
      <c r="E11" s="148">
        <f t="shared" si="0"/>
        <v>0</v>
      </c>
      <c r="F11" t="s">
        <v>212</v>
      </c>
      <c r="G11" s="115">
        <v>10700</v>
      </c>
      <c r="J11" s="16">
        <f>J10/0.9</f>
        <v>58133.973156874992</v>
      </c>
    </row>
    <row r="12" spans="1:10">
      <c r="A12" s="81" t="s">
        <v>171</v>
      </c>
      <c r="B12" s="146">
        <v>0.04</v>
      </c>
      <c r="C12" s="96">
        <f t="shared" si="1"/>
        <v>9512.8319711249987</v>
      </c>
      <c r="D12" s="82"/>
      <c r="E12" s="148">
        <f t="shared" si="0"/>
        <v>0</v>
      </c>
      <c r="F12" t="s">
        <v>213</v>
      </c>
      <c r="G12" s="115">
        <v>19760</v>
      </c>
      <c r="H12" t="s">
        <v>214</v>
      </c>
    </row>
    <row r="13" spans="1:10">
      <c r="A13" s="81" t="s">
        <v>172</v>
      </c>
      <c r="B13" s="146">
        <v>2.5000000000000001E-2</v>
      </c>
      <c r="C13" s="96">
        <f t="shared" si="1"/>
        <v>5945.5199819531244</v>
      </c>
      <c r="D13" s="82"/>
      <c r="E13" s="148">
        <f t="shared" si="0"/>
        <v>0</v>
      </c>
      <c r="F13" t="s">
        <v>215</v>
      </c>
      <c r="G13" s="115">
        <v>21000</v>
      </c>
    </row>
    <row r="14" spans="1:10">
      <c r="A14" s="81" t="s">
        <v>173</v>
      </c>
      <c r="B14" s="146">
        <v>1.4999999999999999E-2</v>
      </c>
      <c r="C14" s="96">
        <f t="shared" si="1"/>
        <v>3567.3119891718743</v>
      </c>
      <c r="D14" s="82"/>
      <c r="E14" s="148">
        <f t="shared" si="0"/>
        <v>0</v>
      </c>
      <c r="F14" t="s">
        <v>216</v>
      </c>
      <c r="G14" s="115">
        <v>4000</v>
      </c>
    </row>
    <row r="15" spans="1:10">
      <c r="A15" s="81" t="s">
        <v>174</v>
      </c>
      <c r="B15" s="146">
        <v>0</v>
      </c>
      <c r="C15" s="96">
        <f t="shared" si="1"/>
        <v>0</v>
      </c>
      <c r="D15" s="82"/>
      <c r="E15" s="148">
        <f t="shared" si="0"/>
        <v>0</v>
      </c>
      <c r="G15" s="16">
        <f>SUM(G11:G14)</f>
        <v>55460</v>
      </c>
    </row>
    <row r="16" spans="1:10">
      <c r="A16" s="81" t="s">
        <v>175</v>
      </c>
      <c r="B16" s="146">
        <v>0.04</v>
      </c>
      <c r="C16" s="96">
        <f t="shared" si="1"/>
        <v>9512.8319711249987</v>
      </c>
      <c r="D16" s="82"/>
      <c r="E16" s="148">
        <f t="shared" si="0"/>
        <v>0</v>
      </c>
    </row>
    <row r="17" spans="1:5">
      <c r="A17" s="147" t="s">
        <v>176</v>
      </c>
      <c r="B17" s="148">
        <v>0.18</v>
      </c>
      <c r="C17" s="149">
        <f t="shared" si="1"/>
        <v>42807.743870062492</v>
      </c>
      <c r="D17" s="150">
        <f>REVESTIMENTOS!C16</f>
        <v>23364.2</v>
      </c>
      <c r="E17" s="148">
        <f t="shared" si="0"/>
        <v>9.8242878969875991E-2</v>
      </c>
    </row>
    <row r="18" spans="1:5">
      <c r="A18" s="81" t="s">
        <v>177</v>
      </c>
      <c r="B18" s="146">
        <v>0.02</v>
      </c>
      <c r="C18" s="96">
        <f t="shared" si="1"/>
        <v>4756.4159855624994</v>
      </c>
      <c r="D18" s="82"/>
      <c r="E18" s="148">
        <f t="shared" si="0"/>
        <v>0</v>
      </c>
    </row>
    <row r="19" spans="1:5">
      <c r="A19" s="147" t="s">
        <v>178</v>
      </c>
      <c r="B19" s="148">
        <v>0.15</v>
      </c>
      <c r="C19" s="149">
        <f t="shared" si="1"/>
        <v>35673.119891718743</v>
      </c>
      <c r="D19" s="150">
        <v>0</v>
      </c>
      <c r="E19" s="148">
        <f t="shared" si="0"/>
        <v>0</v>
      </c>
    </row>
    <row r="20" spans="1:5">
      <c r="A20" s="81" t="s">
        <v>179</v>
      </c>
      <c r="B20" s="146">
        <v>0.05</v>
      </c>
      <c r="C20" s="96">
        <f t="shared" si="1"/>
        <v>11891.039963906249</v>
      </c>
      <c r="D20" s="82"/>
      <c r="E20" s="148">
        <f t="shared" si="0"/>
        <v>0</v>
      </c>
    </row>
    <row r="21" spans="1:5">
      <c r="A21" s="147" t="s">
        <v>180</v>
      </c>
      <c r="B21" s="148">
        <v>0.06</v>
      </c>
      <c r="C21" s="149">
        <f t="shared" si="1"/>
        <v>14269.247956687497</v>
      </c>
      <c r="D21" s="150">
        <v>0</v>
      </c>
      <c r="E21" s="148">
        <f t="shared" si="0"/>
        <v>0</v>
      </c>
    </row>
    <row r="22" spans="1:5">
      <c r="A22" s="147" t="s">
        <v>181</v>
      </c>
      <c r="B22" s="148">
        <v>0.04</v>
      </c>
      <c r="C22" s="149">
        <f t="shared" si="1"/>
        <v>9512.8319711249987</v>
      </c>
      <c r="D22" s="150">
        <v>0</v>
      </c>
      <c r="E22" s="148">
        <f t="shared" si="0"/>
        <v>0</v>
      </c>
    </row>
    <row r="23" spans="1:5">
      <c r="A23" s="81" t="s">
        <v>182</v>
      </c>
      <c r="B23" s="146">
        <v>0.03</v>
      </c>
      <c r="C23" s="96">
        <f t="shared" si="1"/>
        <v>7134.6239783437486</v>
      </c>
      <c r="D23" s="82"/>
      <c r="E23" s="148">
        <f t="shared" si="0"/>
        <v>0</v>
      </c>
    </row>
    <row r="24" spans="1:5">
      <c r="A24" s="81" t="s">
        <v>183</v>
      </c>
      <c r="B24" s="146">
        <v>0.02</v>
      </c>
      <c r="C24" s="96">
        <f t="shared" si="1"/>
        <v>4756.4159855624994</v>
      </c>
      <c r="D24" s="82"/>
      <c r="E24" s="148">
        <f t="shared" si="0"/>
        <v>0</v>
      </c>
    </row>
    <row r="25" spans="1:5">
      <c r="A25" s="81" t="s">
        <v>184</v>
      </c>
      <c r="B25" s="146">
        <v>0.01</v>
      </c>
      <c r="C25" s="96">
        <f t="shared" si="1"/>
        <v>2378.2079927812497</v>
      </c>
      <c r="D25" s="82"/>
      <c r="E25" s="148">
        <f t="shared" si="0"/>
        <v>0</v>
      </c>
    </row>
    <row r="26" spans="1:5">
      <c r="A26" s="81" t="s">
        <v>186</v>
      </c>
      <c r="B26" s="146">
        <v>1.4999999999999999E-2</v>
      </c>
      <c r="C26" s="96">
        <f t="shared" si="1"/>
        <v>3567.3119891718743</v>
      </c>
      <c r="D26" s="82"/>
      <c r="E26" s="148">
        <f t="shared" si="0"/>
        <v>0</v>
      </c>
    </row>
    <row r="27" spans="1:5">
      <c r="A27" s="81" t="s">
        <v>185</v>
      </c>
      <c r="B27" s="146">
        <v>0</v>
      </c>
      <c r="C27" s="96">
        <f t="shared" si="1"/>
        <v>0</v>
      </c>
      <c r="D27" s="82"/>
      <c r="E27" s="148">
        <f t="shared" si="0"/>
        <v>0</v>
      </c>
    </row>
    <row r="28" spans="1:5">
      <c r="A28" s="144" t="s">
        <v>187</v>
      </c>
      <c r="B28" s="145">
        <f>SUM(B7:B27)</f>
        <v>1</v>
      </c>
      <c r="C28" s="16">
        <f>SUM(C7:C27)</f>
        <v>237820.7992781249</v>
      </c>
      <c r="E28" s="145">
        <f>SUM(E7:E27)</f>
        <v>9.8242878969875991E-2</v>
      </c>
    </row>
    <row r="31" spans="1:5">
      <c r="A31" s="160" t="s">
        <v>207</v>
      </c>
      <c r="B31" s="185"/>
      <c r="C31" s="160" t="s">
        <v>208</v>
      </c>
      <c r="D31" s="160"/>
      <c r="E31" s="17" t="s">
        <v>209</v>
      </c>
    </row>
    <row r="32" spans="1:5">
      <c r="A32" s="187">
        <f>B9+B10+B17+B19+B21+B22</f>
        <v>0.65000000000000013</v>
      </c>
      <c r="B32" s="187"/>
      <c r="C32" s="186">
        <f>A32*60%</f>
        <v>0.39000000000000007</v>
      </c>
      <c r="D32" s="185"/>
      <c r="E32" s="151">
        <v>0.4</v>
      </c>
    </row>
    <row r="33" spans="1:3">
      <c r="A33" s="183" t="s">
        <v>210</v>
      </c>
      <c r="B33" s="183"/>
      <c r="C33" s="152" t="s">
        <v>211</v>
      </c>
    </row>
    <row r="34" spans="1:3">
      <c r="A34" s="182">
        <f>C32+E32</f>
        <v>0.79</v>
      </c>
      <c r="B34" s="183"/>
      <c r="C34" s="153">
        <f>A34*B2</f>
        <v>347923.0211661458</v>
      </c>
    </row>
  </sheetData>
  <mergeCells count="8">
    <mergeCell ref="A34:B34"/>
    <mergeCell ref="A5:E5"/>
    <mergeCell ref="G6:J6"/>
    <mergeCell ref="C31:D31"/>
    <mergeCell ref="C32:D32"/>
    <mergeCell ref="A31:B31"/>
    <mergeCell ref="A32:B32"/>
    <mergeCell ref="A33:B3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5E6B-2D06-4887-8E9D-66D76155242B}">
  <dimension ref="A1:I16"/>
  <sheetViews>
    <sheetView workbookViewId="0">
      <selection activeCell="F17" sqref="F17"/>
    </sheetView>
  </sheetViews>
  <sheetFormatPr defaultRowHeight="14.5"/>
  <cols>
    <col min="2" max="2" width="7.453125" customWidth="1"/>
    <col min="5" max="5" width="12.08984375" customWidth="1"/>
  </cols>
  <sheetData>
    <row r="1" spans="1:9" ht="26.4" customHeight="1">
      <c r="A1" s="189" t="s">
        <v>192</v>
      </c>
      <c r="B1" s="189"/>
      <c r="C1" s="189"/>
      <c r="D1" s="189"/>
      <c r="E1" s="189"/>
      <c r="F1" s="189"/>
      <c r="G1" s="189"/>
      <c r="H1" s="189"/>
      <c r="I1" s="189"/>
    </row>
    <row r="2" spans="1:9" ht="18" customHeight="1">
      <c r="A2" s="189" t="s">
        <v>197</v>
      </c>
      <c r="B2" s="189"/>
      <c r="C2" s="189" t="s">
        <v>126</v>
      </c>
      <c r="D2" s="189"/>
      <c r="E2" s="88" t="s">
        <v>198</v>
      </c>
      <c r="F2" s="189" t="s">
        <v>200</v>
      </c>
      <c r="G2" s="189"/>
      <c r="H2" s="160" t="s">
        <v>201</v>
      </c>
      <c r="I2" s="160"/>
    </row>
    <row r="3" spans="1:9">
      <c r="A3" s="160" t="s">
        <v>193</v>
      </c>
      <c r="B3" s="160"/>
      <c r="C3" s="160">
        <v>166</v>
      </c>
      <c r="D3" s="160"/>
      <c r="E3" s="17">
        <f>C3*1.15</f>
        <v>190.89999999999998</v>
      </c>
      <c r="F3" s="190">
        <v>70</v>
      </c>
      <c r="G3" s="190"/>
      <c r="H3" s="159">
        <f>E3*F3</f>
        <v>13362.999999999998</v>
      </c>
      <c r="I3" s="160"/>
    </row>
    <row r="4" spans="1:9">
      <c r="A4" s="160" t="s">
        <v>194</v>
      </c>
      <c r="B4" s="160"/>
      <c r="C4" s="160">
        <v>50</v>
      </c>
      <c r="D4" s="160"/>
      <c r="E4" s="17">
        <f>C4*1.1</f>
        <v>55.000000000000007</v>
      </c>
      <c r="F4" s="190">
        <v>70</v>
      </c>
      <c r="G4" s="190"/>
      <c r="H4" s="159">
        <f t="shared" ref="H4:H6" si="0">E4*F4</f>
        <v>3850.0000000000005</v>
      </c>
      <c r="I4" s="160"/>
    </row>
    <row r="5" spans="1:9">
      <c r="A5" s="160" t="s">
        <v>195</v>
      </c>
      <c r="B5" s="160"/>
      <c r="C5" s="160">
        <v>27</v>
      </c>
      <c r="D5" s="160"/>
      <c r="E5" s="17">
        <f t="shared" ref="E5:E6" si="1">C5*1.1</f>
        <v>29.700000000000003</v>
      </c>
      <c r="F5" s="190">
        <v>50</v>
      </c>
      <c r="G5" s="190"/>
      <c r="H5" s="159">
        <f t="shared" si="0"/>
        <v>1485.0000000000002</v>
      </c>
      <c r="I5" s="160"/>
    </row>
    <row r="6" spans="1:9">
      <c r="A6" s="160" t="s">
        <v>196</v>
      </c>
      <c r="B6" s="160"/>
      <c r="C6" s="160">
        <v>21</v>
      </c>
      <c r="D6" s="160"/>
      <c r="E6" s="17">
        <f t="shared" si="1"/>
        <v>23.1</v>
      </c>
      <c r="F6" s="190">
        <v>50</v>
      </c>
      <c r="G6" s="190"/>
      <c r="H6" s="159">
        <f t="shared" si="0"/>
        <v>1155</v>
      </c>
      <c r="I6" s="160"/>
    </row>
    <row r="7" spans="1:9">
      <c r="A7" s="183" t="s">
        <v>187</v>
      </c>
      <c r="B7" s="183"/>
      <c r="C7" s="183">
        <f>SUM(C3:D6)</f>
        <v>264</v>
      </c>
      <c r="D7" s="183"/>
      <c r="F7" s="191"/>
      <c r="G7" s="191"/>
      <c r="H7" s="192">
        <f>SUM(H3:I6)</f>
        <v>19853</v>
      </c>
      <c r="I7" s="183"/>
    </row>
    <row r="9" spans="1:9">
      <c r="A9" s="185" t="s">
        <v>199</v>
      </c>
      <c r="B9" s="185"/>
      <c r="C9" s="185">
        <f>C7/2</f>
        <v>132</v>
      </c>
      <c r="D9" s="185"/>
      <c r="E9" t="s">
        <v>203</v>
      </c>
    </row>
    <row r="10" spans="1:9">
      <c r="A10" s="185" t="s">
        <v>202</v>
      </c>
      <c r="B10" s="185"/>
      <c r="C10" s="188">
        <f>C9*19</f>
        <v>2508</v>
      </c>
      <c r="D10" s="188"/>
    </row>
    <row r="12" spans="1:9">
      <c r="A12" s="185" t="s">
        <v>204</v>
      </c>
      <c r="B12" s="185"/>
      <c r="C12" s="185">
        <f>C7*0.2</f>
        <v>52.800000000000004</v>
      </c>
      <c r="D12" s="185"/>
      <c r="E12" t="s">
        <v>203</v>
      </c>
    </row>
    <row r="13" spans="1:9">
      <c r="A13" s="185" t="s">
        <v>205</v>
      </c>
      <c r="B13" s="185"/>
      <c r="C13" s="188">
        <f>C12*19</f>
        <v>1003.2</v>
      </c>
      <c r="D13" s="188"/>
    </row>
    <row r="15" spans="1:9">
      <c r="B15" s="160" t="s">
        <v>206</v>
      </c>
      <c r="C15" s="160"/>
      <c r="D15" s="160"/>
      <c r="E15" s="160"/>
      <c r="F15" s="160"/>
      <c r="G15" s="160"/>
    </row>
    <row r="16" spans="1:9">
      <c r="B16" s="17"/>
      <c r="C16" s="159">
        <f>H7+C10+C13</f>
        <v>23364.2</v>
      </c>
      <c r="D16" s="160"/>
      <c r="E16" s="160"/>
      <c r="F16" s="160"/>
      <c r="G16" s="17"/>
    </row>
  </sheetData>
  <mergeCells count="35">
    <mergeCell ref="A2:B2"/>
    <mergeCell ref="C2:D2"/>
    <mergeCell ref="F2:G2"/>
    <mergeCell ref="F3:G3"/>
    <mergeCell ref="F4:G4"/>
    <mergeCell ref="A3:B3"/>
    <mergeCell ref="C3:D3"/>
    <mergeCell ref="A4:B4"/>
    <mergeCell ref="C4:D4"/>
    <mergeCell ref="H5:I5"/>
    <mergeCell ref="H6:I6"/>
    <mergeCell ref="H7:I7"/>
    <mergeCell ref="A7:B7"/>
    <mergeCell ref="C7:D7"/>
    <mergeCell ref="F5:G5"/>
    <mergeCell ref="A5:B5"/>
    <mergeCell ref="A6:B6"/>
    <mergeCell ref="C5:D5"/>
    <mergeCell ref="C6:D6"/>
    <mergeCell ref="A13:B13"/>
    <mergeCell ref="C13:D13"/>
    <mergeCell ref="B15:G15"/>
    <mergeCell ref="C16:F16"/>
    <mergeCell ref="A1:I1"/>
    <mergeCell ref="A10:B10"/>
    <mergeCell ref="C9:D9"/>
    <mergeCell ref="C10:D10"/>
    <mergeCell ref="A12:B12"/>
    <mergeCell ref="C12:D12"/>
    <mergeCell ref="F6:G6"/>
    <mergeCell ref="F7:G7"/>
    <mergeCell ref="A9:B9"/>
    <mergeCell ref="H2:I2"/>
    <mergeCell ref="H3:I3"/>
    <mergeCell ref="H4:I4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10D3-E27B-43B3-AFA2-1C325895CF3C}">
  <dimension ref="A1:G12"/>
  <sheetViews>
    <sheetView workbookViewId="0"/>
  </sheetViews>
  <sheetFormatPr defaultRowHeight="14.5"/>
  <cols>
    <col min="1" max="1" width="12.1796875" customWidth="1"/>
    <col min="2" max="2" width="22.81640625" customWidth="1"/>
    <col min="3" max="3" width="21" customWidth="1"/>
    <col min="4" max="4" width="19" customWidth="1"/>
    <col min="5" max="5" width="18.08984375" customWidth="1"/>
    <col min="6" max="6" width="16.81640625" customWidth="1"/>
    <col min="7" max="7" width="18.1796875" customWidth="1"/>
  </cols>
  <sheetData>
    <row r="1" spans="1:7" ht="18.5" thickBot="1">
      <c r="A1" s="120"/>
      <c r="B1" s="121"/>
      <c r="C1" s="122"/>
      <c r="D1" s="122"/>
      <c r="E1" s="123"/>
      <c r="F1" s="122"/>
      <c r="G1" s="124"/>
    </row>
    <row r="2" spans="1:7" ht="18.5" thickBot="1">
      <c r="A2" s="120"/>
      <c r="B2" s="121"/>
      <c r="C2" s="122"/>
      <c r="D2" s="122"/>
      <c r="E2" s="123"/>
      <c r="F2" s="122"/>
      <c r="G2" s="124"/>
    </row>
    <row r="3" spans="1:7" ht="18.5" thickBot="1">
      <c r="A3" s="120"/>
      <c r="B3" s="121"/>
      <c r="C3" s="122"/>
      <c r="D3" s="122"/>
      <c r="E3" s="123"/>
      <c r="F3" s="122"/>
      <c r="G3" s="124"/>
    </row>
    <row r="4" spans="1:7" ht="18.5" thickBot="1">
      <c r="A4" s="120"/>
      <c r="B4" s="121"/>
      <c r="C4" s="122"/>
      <c r="D4" s="122"/>
      <c r="E4" s="123"/>
      <c r="F4" s="122"/>
      <c r="G4" s="124"/>
    </row>
    <row r="5" spans="1:7" ht="18.5" thickBot="1">
      <c r="A5" s="120"/>
      <c r="B5" s="121"/>
      <c r="C5" s="122"/>
      <c r="D5" s="122"/>
      <c r="E5" s="123"/>
      <c r="F5" s="122"/>
      <c r="G5" s="124"/>
    </row>
    <row r="6" spans="1:7" ht="18.5" thickBot="1">
      <c r="A6" s="120"/>
      <c r="B6" s="121"/>
      <c r="C6" s="122"/>
      <c r="D6" s="122"/>
      <c r="E6" s="123"/>
      <c r="F6" s="122"/>
      <c r="G6" s="124"/>
    </row>
    <row r="7" spans="1:7" ht="18.5" thickBot="1">
      <c r="A7" s="120"/>
      <c r="B7" s="121"/>
      <c r="C7" s="122"/>
      <c r="D7" s="122"/>
      <c r="E7" s="123"/>
      <c r="F7" s="122"/>
      <c r="G7" s="124"/>
    </row>
    <row r="8" spans="1:7" ht="18.5" thickBot="1">
      <c r="A8" s="120"/>
      <c r="B8" s="121"/>
      <c r="C8" s="122"/>
      <c r="D8" s="122"/>
      <c r="E8" s="123"/>
      <c r="F8" s="122"/>
      <c r="G8" s="124"/>
    </row>
    <row r="9" spans="1:7" ht="18.5" thickBot="1">
      <c r="A9" s="120"/>
      <c r="B9" s="121"/>
      <c r="C9" s="122"/>
      <c r="D9" s="122"/>
      <c r="E9" s="123"/>
      <c r="F9" s="122"/>
      <c r="G9" s="124"/>
    </row>
    <row r="10" spans="1:7" ht="18.5" thickBot="1">
      <c r="A10" s="120"/>
      <c r="B10" s="121"/>
      <c r="C10" s="122"/>
      <c r="D10" s="122"/>
      <c r="E10" s="123"/>
      <c r="F10" s="122"/>
      <c r="G10" s="124"/>
    </row>
    <row r="11" spans="1:7" ht="18.5" thickBot="1">
      <c r="A11" s="120"/>
      <c r="B11" s="121"/>
      <c r="C11" s="122"/>
      <c r="D11" s="122"/>
      <c r="E11" s="123"/>
      <c r="F11" s="122"/>
      <c r="G11" s="124"/>
    </row>
    <row r="12" spans="1:7" ht="18.5" thickBot="1">
      <c r="A12" s="120"/>
      <c r="B12" s="121"/>
      <c r="C12" s="122"/>
      <c r="D12" s="122"/>
      <c r="E12" s="123"/>
      <c r="F12" s="122"/>
      <c r="G12" s="12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ESTUDO DE MERCADO</vt:lpstr>
      <vt:lpstr>ÁREA EQUIVALENTE</vt:lpstr>
      <vt:lpstr>VIABILIDADE</vt:lpstr>
      <vt:lpstr>CUSTO POR ETAPA</vt:lpstr>
      <vt:lpstr>REVESTIMENTOS</vt:lpstr>
      <vt:lpstr>PARCELAS CAIXA</vt:lpstr>
      <vt:lpstr>'ÁREA EQUIVALENTE'!Area_de_impressao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Rodrigo Lopes</cp:lastModifiedBy>
  <dcterms:created xsi:type="dcterms:W3CDTF">2023-03-07T12:55:16Z</dcterms:created>
  <dcterms:modified xsi:type="dcterms:W3CDTF">2026-02-07T00:19:00Z</dcterms:modified>
</cp:coreProperties>
</file>